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cb103e18e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mmaire" sheetId="1" r:id="R84de1c1980e847b5"/>
    <x:sheet xmlns:r="http://schemas.openxmlformats.org/officeDocument/2006/relationships" name="Inventaire principal" sheetId="2" r:id="R7a96aa0033734497"/>
    <x:sheet xmlns:r="http://schemas.openxmlformats.org/officeDocument/2006/relationships" name="Matrice présence" sheetId="3" r:id="R2cb210756bd542fd"/>
    <x:sheet xmlns:r="http://schemas.openxmlformats.org/officeDocument/2006/relationships" name="Rattachement" sheetId="4" r:id="Re1aa55cecaa542b9"/>
    <x:sheet xmlns:r="http://schemas.openxmlformats.org/officeDocument/2006/relationships" name="Anomalies" sheetId="5" r:id="R2c0273108bf647de"/>
    <x:sheet xmlns:r="http://schemas.openxmlformats.org/officeDocument/2006/relationships" name="Analyses exclues" sheetId="6" r:id="Ra859524133144373"/>
    <x:sheet xmlns:r="http://schemas.openxmlformats.org/officeDocument/2006/relationships" name="Sources examinées" sheetId="7" r:id="R40607b184f2c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sz val="11"/>
      <x:color rgb="FF4040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ont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4aed6f9344c93" /><Relationship Type="http://schemas.openxmlformats.org/officeDocument/2006/relationships/theme" Target="/xl/theme/theme1.xml" Id="R03c60d3243634b66" /><Relationship Type="http://schemas.openxmlformats.org/officeDocument/2006/relationships/sharedStrings" Target="/xl/sharedStrings.xml" Id="R931fba8fda4a45c3" /><Relationship Type="http://schemas.openxmlformats.org/officeDocument/2006/relationships/worksheet" Target="/xl/worksheets/sheet1.xml" Id="R84de1c1980e847b5" /><Relationship Type="http://schemas.openxmlformats.org/officeDocument/2006/relationships/worksheet" Target="/xl/worksheets/sheet2.xml" Id="R7a96aa0033734497" /><Relationship Type="http://schemas.openxmlformats.org/officeDocument/2006/relationships/worksheet" Target="/xl/worksheets/sheet3.xml" Id="R2cb210756bd542fd" /><Relationship Type="http://schemas.openxmlformats.org/officeDocument/2006/relationships/worksheet" Target="/xl/worksheets/sheet4.xml" Id="Re1aa55cecaa542b9" /><Relationship Type="http://schemas.openxmlformats.org/officeDocument/2006/relationships/worksheet" Target="/xl/worksheets/sheet5.xml" Id="R2c0273108bf647de" /><Relationship Type="http://schemas.openxmlformats.org/officeDocument/2006/relationships/worksheet" Target="/xl/worksheets/sheet6.xml" Id="Ra859524133144373" /><Relationship Type="http://schemas.openxmlformats.org/officeDocument/2006/relationships/worksheet" Target="/xl/worksheets/sheet7.xml" Id="R40607b184f2c4306" /></Relationships>
</file>

<file path=xl/tables/table1.xml><?xml version="1.0" encoding="utf-8"?>
<x:table xmlns:x="http://schemas.openxmlformats.org/spreadsheetml/2006/main" id="1" name="InventairePar9" displayName="InventairePar9" ref="A1:K172" headerRowCount="1">
  <x:tableColumns count="11">
    <x:tableColumn id="1" name="No"/>
    <x:tableColumn id="2" name="Référence interne exacte"/>
    <x:tableColumn id="3" name="Cote ou alias mentionné"/>
    <x:tableColumn id="4" name="Date"/>
    <x:tableColumn id="5" name="Nature du document"/>
    <x:tableColumn id="6" name="Fait ou proposition soutenue"/>
    <x:tableColumn id="7" name="Fichier ou section où la référence apparaît"/>
    <x:tableColumn id="8" name="Statut dans la liste source"/>
    <x:tableColumn id="9" name="Réserve ou observation"/>
    <x:tableColumn id="10" name="Portée"/>
    <x:tableColumn id="11" name="Catégorie de comptage"/>
  </x:tableColumns>
  <x:tableStyleInfo name="TableStyleMedium2" showRowStripes="1"/>
</x:table>
</file>

<file path=xl/tables/table2.xml><?xml version="1.0" encoding="utf-8"?>
<x:table xmlns:x="http://schemas.openxmlformats.org/spreadsheetml/2006/main" id="2" name="MatricePar9" displayName="MatricePar9" ref="A1:G172" headerRowCount="1">
  <x:tableColumns count="7">
    <x:tableColumn id="1" name="Référence interne"/>
    <x:tableColumn id="2" name="Faits"/>
    <x:tableColumn id="3" name="Pont — récit"/>
    <x:tableColumn id="4" name="Pont — tableau final"/>
    <x:tableColumn id="5" name="Axe/Argument"/>
    <x:tableColumn id="6" name="Relation/Synthèse"/>
    <x:tableColumn id="7" name="Autre"/>
  </x:tableColumns>
  <x:tableStyleInfo name="TableStyleMedium2" showRowStripes="1"/>
</x:table>
</file>

<file path=xl/tables/table3.xml><?xml version="1.0" encoding="utf-8"?>
<x:table xmlns:x="http://schemas.openxmlformats.org/spreadsheetml/2006/main" id="3" name="RattachementPar9" displayName="RattachementPar9" ref="A1:E18" headerRowCount="1">
  <x:tableColumns count="5">
    <x:tableColumn id="1" name="Paragraphe procédural"/>
    <x:tableColumn id="2" name="Proposition factuelle"/>
    <x:tableColumn id="3" name="Référence ou références internes"/>
    <x:tableColumn id="4" name="Type de soutien"/>
    <x:tableColumn id="5" name="Observation"/>
  </x:tableColumns>
  <x:tableStyleInfo name="TableStyleMedium2" showRowStripes="1"/>
</x:table>
</file>

<file path=xl/tables/table4.xml><?xml version="1.0" encoding="utf-8"?>
<x:table xmlns:x="http://schemas.openxmlformats.org/spreadsheetml/2006/main" id="4" name="AnomaliesPar9" displayName="AnomaliesPar9" ref="A1:D17" headerRowCount="1">
  <x:tableColumns count="4">
    <x:tableColumn id="1" name="No"/>
    <x:tableColumn id="2" name="Anomalie ou omission"/>
    <x:tableColumn id="3" name="Constat"/>
    <x:tableColumn id="4" name="Traitement recommandé"/>
  </x:tableColumns>
  <x:tableStyleInfo name="TableStyleMedium2" showRowStripes="1"/>
</x:table>
</file>

<file path=xl/tables/table5.xml><?xml version="1.0" encoding="utf-8"?>
<x:table xmlns:x="http://schemas.openxmlformats.org/spreadsheetml/2006/main" id="5" name="ExclusionsPar9" displayName="ExclusionsPar9" ref="A1:C19" headerRowCount="1">
  <x:tableColumns count="3">
    <x:tableColumn id="1" name="Référence analytique ou renvoi"/>
    <x:tableColumn id="2" name="Catégorie"/>
    <x:tableColumn id="3" name="Motif d'exclusion des pièces probatoires"/>
  </x:tableColumns>
  <x:tableStyleInfo name="TableStyleMedium2" showRowStripes="1"/>
</x:table>
</file>

<file path=xl/tables/table6.xml><?xml version="1.0" encoding="utf-8"?>
<x:table xmlns:x="http://schemas.openxmlformats.org/spreadsheetml/2006/main" id="6" name="SourcesPar9" displayName="SourcesPar9" ref="A1:C7" headerRowCount="1">
  <x:tableColumns count="3">
    <x:tableColumn id="1" name="Fichier"/>
    <x:tableColumn id="2" name="Rôle dans l'analyse"/>
    <x:tableColumn id="3" name="Stat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a3e5417b5e45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5978ebe68b4d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900b20bd0a42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30443d720d4b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bd0ac4e9034b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6d136ba817481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6" t="str">
        <x:v>Inventaire documentaire — §9 de la Requête du 19 novembre 2015</x:v>
      </x:c>
      <x:c r="B1" s="36"/>
      <x:c r="C1" s="36"/>
      <x:c r="D1" s="36"/>
      <x:c r="E1" s="36"/>
      <x:c r="F1" s="36"/>
      <x:c r="G1" s="36"/>
      <x:c r="H1" s="36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4" t="str">
        <x:v>Indicateur</x:v>
      </x:c>
      <x:c r="B3" s="14" t="str">
        <x:v>Valeur</x:v>
      </x:c>
      <x:c r="C3" s="20"/>
      <x:c r="D3" s="20"/>
      <x:c r="E3" s="20"/>
      <x:c r="F3" s="20"/>
      <x:c r="G3" s="20"/>
      <x:c r="H3" s="20"/>
    </x:row>
    <x:row r="4">
      <x:c r="A4" s="20" t="str">
        <x:v>Entrées probatoires conservées dans l’union</x:v>
      </x:c>
      <x:c r="B4" s="20" t="n">
        <x:f>COUNTA('Inventaire principal'!B2:B172)</x:f>
        <x:v>171</x:v>
      </x:c>
      <x:c r="C4" s="20"/>
      <x:c r="D4" s="20"/>
      <x:c r="E4" s="20"/>
      <x:c r="F4" s="20"/>
      <x:c r="G4" s="20"/>
      <x:c r="H4" s="20"/>
    </x:row>
    <x:row r="5">
      <x:c r="A5" s="20" t="str">
        <x:v>Références internes identifiables</x:v>
      </x:c>
      <x:c r="B5" s="20" t="n">
        <x:f>COUNTIF('Inventaire principal'!K2:K172,"Référence interne identifiable")</x:f>
        <x:v>160</x:v>
      </x:c>
      <x:c r="C5" s="20"/>
      <x:c r="D5" s="20"/>
      <x:c r="E5" s="20"/>
      <x:c r="F5" s="20"/>
      <x:c r="G5" s="20"/>
      <x:c r="H5" s="20"/>
    </x:row>
    <x:row r="6">
      <x:c r="A6" s="20" t="str">
        <x:v>Anciennes cotes P non rattachées de façon sûre</x:v>
      </x:c>
      <x:c r="B6" s="20" t="n">
        <x:f>COUNTIF('Inventaire principal'!K2:K172,"Cote non rattachée")</x:f>
        <x:v>11</x:v>
      </x:c>
      <x:c r="C6" s="20"/>
      <x:c r="D6" s="20"/>
      <x:c r="E6" s="20"/>
      <x:c r="F6" s="20"/>
      <x:c r="G6" s="20"/>
      <x:c r="H6" s="20"/>
    </x:row>
    <x:row r="7">
      <x:c r="A7" s="20" t="str">
        <x:v>Paragraphes procéduraux examinés</x:v>
      </x:c>
      <x:c r="B7" s="20" t="n">
        <x:f>COUNTA(Rattachement!A2:A18)</x:f>
        <x:v>17</x:v>
      </x:c>
      <x:c r="C7" s="20"/>
      <x:c r="D7" s="20"/>
      <x:c r="E7" s="20"/>
      <x:c r="F7" s="20"/>
      <x:c r="G7" s="20"/>
      <x:c r="H7" s="20"/>
    </x:row>
    <x:row r="8">
      <x:c r="A8" s="20" t="str">
        <x:v>Anomalies ou omissions relevées</x:v>
      </x:c>
      <x:c r="B8" s="20" t="n">
        <x:f>COUNTA(Anomalies!A2:A18)</x:f>
        <x:v>17</x:v>
      </x:c>
      <x:c r="C8" s="20"/>
      <x:c r="D8" s="20"/>
      <x:c r="E8" s="20"/>
      <x:c r="F8" s="20"/>
      <x:c r="G8" s="20"/>
      <x:c r="H8" s="20"/>
    </x:row>
    <x:row r="9">
      <x:c r="A9" s="20" t="str">
        <x:v>Références analytiques / renvois exclus</x:v>
      </x:c>
      <x:c r="B9" s="20" t="n">
        <x:f>COUNTA('Analyses exclues'!A2:A19)</x:f>
        <x:v>18</x:v>
      </x:c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37" t="str">
        <x:v>Portée et méthode</x:v>
      </x:c>
      <x:c r="B11" s="37"/>
      <x:c r="C11" s="37"/>
      <x:c r="D11" s="37"/>
      <x:c r="E11" s="37"/>
      <x:c r="F11" s="37"/>
      <x:c r="G11" s="37"/>
      <x:c r="H11" s="37"/>
    </x:row>
    <x:row r="12">
      <x:c r="A12" s="31" t="str">
        <x:v>L’union comprend les références des fichiers « faits », « pont », « argument », du document de relation/synthèse et de l’axe transversal « présence quotidienne et activités ». Les références strictement identiques sont dédupliquées. Les anciennes cotes P ne sont fusionnées à une référence interne que lorsque la correspondance est suffisamment établie; les cotes ambiguës demeurent des entrées distinctes.</x:v>
      </x:c>
      <x:c r="B12" s="31"/>
      <x:c r="C12" s="31"/>
      <x:c r="D12" s="31"/>
      <x:c r="E12" s="31"/>
      <x:c r="F12" s="31"/>
      <x:c r="G12" s="31"/>
      <x:c r="H12" s="31"/>
    </x:row>
    <x:row r="13">
      <x:c r="A13" s="31"/>
      <x:c r="B13" s="31"/>
      <x:c r="C13" s="31"/>
      <x:c r="D13" s="31"/>
      <x:c r="E13" s="31"/>
      <x:c r="F13" s="31"/>
      <x:c r="G13" s="31"/>
      <x:c r="H13" s="31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37" t="str">
        <x:v>Pièces centrales</x:v>
      </x:c>
      <x:c r="B16" s="37"/>
      <x:c r="C16" s="37"/>
      <x:c r="D16" s="37"/>
      <x:c r="E16" s="37"/>
      <x:c r="F16" s="37"/>
      <x:c r="G16" s="37"/>
      <x:c r="H16" s="37"/>
    </x:row>
    <x:row r="17">
      <x:c r="A17" s="31" t="str">
        <x:v>• piece_document-1.md — source de l’allégation contestée
• Email id=35 — présence quotidienne et caractère temporaire de l’absence nocturne
• Events id=316–320 + EmailThread pk=1 / Email id=1 — escalade et corroboration Allez Up
• Events id=244, 246, 255, 256, 262 et 267 — sorties familiales
• PhotoDocument id=5, Events id=312–315 et Photos id=4517–4522 — fête-surprise
• EmailThread pk=26 + Emails id=32–33 — prise en charge de Nicolas pendant le soccer
• Events id=239 et 263 — saison de soccer 2013
• Events id=257–260 — voyage à Cape Cod avec les enfants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  <x:row r="21">
      <x:c r="A21" s="31"/>
      <x:c r="B21" s="31"/>
      <x:c r="C21" s="31"/>
      <x:c r="D21" s="31"/>
      <x:c r="E21" s="31"/>
      <x:c r="F21" s="31"/>
      <x:c r="G21" s="31"/>
      <x:c r="H21" s="31"/>
    </x:row>
    <x:row r="22">
      <x:c r="A22" s="31"/>
      <x:c r="B22" s="31"/>
      <x:c r="C22" s="31"/>
      <x:c r="D22" s="31"/>
      <x:c r="E22" s="31"/>
      <x:c r="F22" s="31"/>
      <x:c r="G22" s="31"/>
      <x:c r="H22" s="31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37" t="str">
        <x:v>Réserves principales</x:v>
      </x:c>
      <x:c r="B24" s="37"/>
      <x:c r="C24" s="37"/>
      <x:c r="D24" s="37"/>
      <x:c r="E24" s="37"/>
      <x:c r="F24" s="37"/>
      <x:c r="G24" s="37"/>
      <x:c r="H24" s="37"/>
    </x:row>
    <x:row r="25">
      <x:c r="A25" s="31" t="str">
        <x:v>• Aucune pièce précise n’est rattachée à la date de naissance de Nicolas.
• EmailThread id=159 ne prouve pas directement que la demanderesse était entraîneuse.
• Divergence Cape Cod : 10–17 août avec la demanderesse dans l’argumentaire, contre 11–16 août avec les enfants dans les faits/pont.
• PDFDocument id=90 et 91 sont illustratifs, non une preuve directe de l’horaire 2013.
• piece_pdf-1.md / P-1 peut soulever le secret professionnel.
• Le tableau récapitulatif doit rester rattaché aux photos et événements sous-jacents.</x:v>
      </x:c>
      <x:c r="B25" s="31"/>
      <x:c r="C25" s="31"/>
      <x:c r="D25" s="31"/>
      <x:c r="E25" s="31"/>
      <x:c r="F25" s="31"/>
      <x:c r="G25" s="31"/>
      <x:c r="H25" s="31"/>
    </x:row>
    <x:row r="26">
      <x:c r="A26" s="31"/>
      <x:c r="B26" s="31"/>
      <x:c r="C26" s="31"/>
      <x:c r="D26" s="31"/>
      <x:c r="E26" s="31"/>
      <x:c r="F26" s="31"/>
      <x:c r="G26" s="31"/>
      <x:c r="H26" s="31"/>
    </x:row>
    <x:row r="27">
      <x:c r="A27" s="31"/>
      <x:c r="B27" s="31"/>
      <x:c r="C27" s="31"/>
      <x:c r="D27" s="31"/>
      <x:c r="E27" s="31"/>
      <x:c r="F27" s="31"/>
      <x:c r="G27" s="31"/>
      <x:c r="H27" s="31"/>
    </x:row>
    <x:row r="28">
      <x:c r="A28" s="31"/>
      <x:c r="B28" s="31"/>
      <x:c r="C28" s="31"/>
      <x:c r="D28" s="31"/>
      <x:c r="E28" s="31"/>
      <x:c r="F28" s="31"/>
      <x:c r="G28" s="31"/>
      <x:c r="H28" s="31"/>
    </x:row>
    <x:row r="29">
      <x:c r="A29" s="31"/>
      <x:c r="B29" s="31"/>
      <x:c r="C29" s="31"/>
      <x:c r="D29" s="31"/>
      <x:c r="E29" s="31"/>
      <x:c r="F29" s="31"/>
      <x:c r="G29" s="31"/>
      <x:c r="H29" s="31"/>
    </x:row>
    <x:row r="30">
      <x:c r="A30" s="31"/>
      <x:c r="B30" s="31"/>
      <x:c r="C30" s="31"/>
      <x:c r="D30" s="31"/>
      <x:c r="E30" s="31"/>
      <x:c r="F30" s="31"/>
      <x:c r="G30" s="31"/>
      <x:c r="H30" s="31"/>
    </x:row>
    <x:row r="31">
      <x:c r="A31" s="31"/>
      <x:c r="B31" s="31"/>
      <x:c r="C31" s="31"/>
      <x:c r="D31" s="31"/>
      <x:c r="E31" s="31"/>
      <x:c r="F31" s="31"/>
      <x:c r="G31" s="31"/>
      <x:c r="H31" s="31"/>
    </x:row>
  </x:sheetData>
  <x:mergeCells>
    <x:mergeCell ref="A1:H1"/>
    <x:mergeCell ref="A11:H11"/>
    <x:mergeCell ref="A12:H14"/>
    <x:mergeCell ref="A16:H16"/>
    <x:mergeCell ref="A17:H22"/>
    <x:mergeCell ref="A24:H24"/>
    <x:mergeCell ref="A25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31" hidden="0" customWidth="1"/>
    <x:col min="4" max="4" width="22" hidden="0" customWidth="1"/>
    <x:col min="5" max="5" width="30" hidden="0" customWidth="1"/>
    <x:col min="6" max="6" width="48" hidden="0" customWidth="1"/>
    <x:col min="7" max="7" width="45" hidden="0" customWidth="1"/>
    <x:col min="8" max="8" width="34" hidden="0" customWidth="1"/>
    <x:col min="9" max="9" width="52" hidden="0" customWidth="1"/>
    <x:col min="10" max="10" width="27" hidden="0" customWidth="1"/>
    <x:col min="11" max="11" width="29" hidden="0" customWidth="1"/>
  </x:cols>
  <x:sheetData>
    <x:row r="1">
      <x:c r="A1" s="14" t="str">
        <x:v>No</x:v>
      </x:c>
      <x:c r="B1" s="14" t="str">
        <x:v>Référence interne exacte</x:v>
      </x:c>
      <x:c r="C1" s="14" t="str">
        <x:v>Cote ou alias mentionné</x:v>
      </x:c>
      <x:c r="D1" s="14" t="str">
        <x:v>Date</x:v>
      </x:c>
      <x:c r="E1" s="14" t="str">
        <x:v>Nature du document</x:v>
      </x:c>
      <x:c r="F1" s="14" t="str">
        <x:v>Fait ou proposition soutenue</x:v>
      </x:c>
      <x:c r="G1" s="14" t="str">
        <x:v>Fichier ou section où la référence apparaît</x:v>
      </x:c>
      <x:c r="H1" s="14" t="str">
        <x:v>Statut dans la liste source</x:v>
      </x:c>
      <x:c r="I1" s="14" t="str">
        <x:v>Réserve ou observation</x:v>
      </x:c>
      <x:c r="J1" s="14" t="str">
        <x:v>Portée</x:v>
      </x:c>
      <x:c r="K1" s="14" t="str">
        <x:v>Catégorie de comptage</x:v>
      </x:c>
    </x:row>
    <x:row r="2">
      <x:c r="A2" s="42" t="n">
        <x:v>1</x:v>
      </x:c>
      <x:c r="B2" s="40" t="str">
        <x:v>piece_document-1.md</x:v>
      </x:c>
      <x:c r="C2" s="40" t="str">
        <x:v>Requête du 19 novembre 2015, §9</x:v>
      </x:c>
      <x:c r="D2" s="40" t="str">
        <x:v>2015-11-19</x:v>
      </x:c>
      <x:c r="E2" s="40" t="str">
        <x:v>Acte de procédure</x:v>
      </x:c>
      <x:c r="F2" s="40" t="str">
        <x:v>Allégation contestée elle-même</x:v>
      </x:c>
      <x:c r="G2" s="40" t="str">
        <x:v>Faits; Pont — version procédurale/tableau</x:v>
      </x:c>
      <x:c r="H2" s="40" t="str">
        <x:v>explicitement listée</x:v>
      </x:c>
      <x:c r="I2" s="40" t="str">
        <x:v>Pleading; authenticité et production à établir</x:v>
      </x:c>
      <x:c r="J2" s="40" t="str">
        <x:v>noyau §9</x:v>
      </x:c>
      <x:c r="K2" s="40" t="str">
        <x:v>Référence interne identifiable</x:v>
      </x:c>
    </x:row>
    <x:row r="3">
      <x:c r="A3" s="42" t="n">
        <x:v>2</x:v>
      </x:c>
      <x:c r="B3" s="40" t="str">
        <x:v>piece_tableau_recap_evenements.md</x:v>
      </x:c>
      <x:c r="C3" s="40" t="str">
        <x:v>Tableau récapitulatif / liasse</x:v>
      </x:c>
      <x:c r="D3" s="40" t="str">
        <x:v>2013-06-01 à 2013-09-30</x:v>
      </x:c>
      <x:c r="E3" s="40" t="str">
        <x:v>Compilation probatoire</x:v>
      </x:c>
      <x:c r="F3" s="40" t="str">
        <x:v>Volume d'au moins trente occasions documentées</x:v>
      </x:c>
      <x:c r="G3" s="40" t="str">
        <x:v>Faits; Pont — version procédurale/tableau</x:v>
      </x:c>
      <x:c r="H3" s="40" t="str">
        <x:v>explicitement listée</x:v>
      </x:c>
      <x:c r="I3" s="40" t="str">
        <x:v>Compilation; doit être soutenue par les événements/photos sous-jacents</x:v>
      </x:c>
      <x:c r="J3" s="40" t="str">
        <x:v>noyau §9</x:v>
      </x:c>
      <x:c r="K3" s="40" t="str">
        <x:v>Référence interne identifiable</x:v>
      </x:c>
    </x:row>
    <x:row r="4">
      <x:c r="A4" s="42" t="n">
        <x:v>3</x:v>
      </x:c>
      <x:c r="B4" s="40" t="str">
        <x:v>piece_event-312.md</x:v>
      </x:c>
      <x:c r="C4" s="40" t="str">
        <x:v>Event id=312</x:v>
      </x:c>
      <x:c r="D4" s="40" t="str">
        <x:v>2013-07-14 à 2013-07-19</x:v>
      </x:c>
      <x:c r="E4" s="40" t="str">
        <x:v>Fichier de pièce événementielle</x:v>
      </x:c>
      <x:c r="F4" s="40" t="str">
        <x:v>Organisation de la fête-surprise</x:v>
      </x:c>
      <x:c r="G4" s="40" t="str">
        <x:v>Faits</x:v>
      </x:c>
      <x:c r="H4" s="40" t="str">
        <x:v>explicitement listée</x:v>
      </x:c>
      <x:c r="I4" s="40" t="str">
        <x:v>Conteneur/fichier distinct de l'enregistrement Event id=312</x:v>
      </x:c>
      <x:c r="J4" s="40" t="str">
        <x:v>noyau §9</x:v>
      </x:c>
      <x:c r="K4" s="40" t="str">
        <x:v>Référence interne identifiable</x:v>
      </x:c>
    </x:row>
    <x:row r="5">
      <x:c r="A5" s="42" t="n">
        <x:v>4</x:v>
      </x:c>
      <x:c r="B5" s="40" t="str">
        <x:v>piece_thread-27_email-34.md</x:v>
      </x:c>
      <x:c r="C5" s="40" t="str">
        <x:v>EmailThread id=27; Email id=34</x:v>
      </x:c>
      <x:c r="D5" s="40" t="str">
        <x:v>2013-07-22</x:v>
      </x:c>
      <x:c r="E5" s="40" t="str">
        <x:v>Fichier de pièce de courriel</x:v>
      </x:c>
      <x:c r="F5" s="40" t="str">
        <x:v>Confirmation du déroulement de la fête-surprise</x:v>
      </x:c>
      <x:c r="G5" s="40" t="str">
        <x:v>Faits</x:v>
      </x:c>
      <x:c r="H5" s="40" t="str">
        <x:v>explicitement listée</x:v>
      </x:c>
      <x:c r="I5" s="40" t="str">
        <x:v>Conteneur/fichier distinct du courriel individuel</x:v>
      </x:c>
      <x:c r="J5" s="40" t="str">
        <x:v>noyau §9</x:v>
      </x:c>
      <x:c r="K5" s="40" t="str">
        <x:v>Référence interne identifiable</x:v>
      </x:c>
    </x:row>
    <x:row r="6">
      <x:c r="A6" s="42" t="n">
        <x:v>5</x:v>
      </x:c>
      <x:c r="B6" s="40" t="str">
        <x:v>piece_pdf-1.md</x:v>
      </x:c>
      <x:c r="C6" s="40" t="str">
        <x:v>P-1</x:v>
      </x:c>
      <x:c r="D6" s="40" t="str">
        <x:v>2013-06-11</x:v>
      </x:c>
      <x:c r="E6" s="40" t="str">
        <x:v>Courriel juridique / PDF</x:v>
      </x:c>
      <x:c r="F6" s="40" t="str">
        <x:v>Plan relatif au départ du domicile et à la création d'une routine</x:v>
      </x:c>
      <x:c r="G6" s="40" t="str">
        <x:v>Axe présence — contre-preuve transversale</x:v>
      </x:c>
      <x:c r="H6" s="40" t="str">
        <x:v>mentionnée dans le récit</x:v>
      </x:c>
      <x:c r="I6" s="40" t="str">
        <x:v>Utilisation potentiellement soumise au secret professionnel; admissibilité à analyser</x:v>
      </x:c>
      <x:c r="J6" s="40" t="str">
        <x:v>axe transversal</x:v>
      </x:c>
      <x:c r="K6" s="40" t="str">
        <x:v>Référence interne identifiable</x:v>
      </x:c>
    </x:row>
    <x:row r="7">
      <x:c r="A7" s="42" t="n">
        <x:v>6</x:v>
      </x:c>
      <x:c r="B7" s="40" t="str">
        <x:v>Event id=17</x:v>
      </x:c>
      <x:c r="C7" s="40" t="str"/>
      <x:c r="D7" s="40" t="str">
        <x:v>2010-03-11</x:v>
      </x:c>
      <x:c r="E7" s="40" t="str">
        <x:v>Événement photographique / photographie horodatée</x:v>
      </x:c>
      <x:c r="F7" s="40" t="str">
        <x:v>Présence familiale avec Alexia et Élise</x:v>
      </x:c>
      <x:c r="G7" s="40" t="str">
        <x:v>Axe présence — inventaire complet</x:v>
      </x:c>
      <x:c r="H7" s="40" t="str">
        <x:v>explicitement listée dans l'axe</x:v>
      </x:c>
      <x:c r="I7" s="40" t="str"/>
      <x:c r="J7" s="40" t="str">
        <x:v>contexte comparatif transversal</x:v>
      </x:c>
      <x:c r="K7" s="40" t="str">
        <x:v>Référence interne identifiable</x:v>
      </x:c>
    </x:row>
    <x:row r="8">
      <x:c r="A8" s="42" t="n">
        <x:v>7</x:v>
      </x:c>
      <x:c r="B8" s="40" t="str">
        <x:v>Event id=25</x:v>
      </x:c>
      <x:c r="C8" s="40" t="str"/>
      <x:c r="D8" s="40" t="str">
        <x:v>2010-11-11</x:v>
      </x:c>
      <x:c r="E8" s="40" t="str">
        <x:v>Événement photographique / photographie horodatée</x:v>
      </x:c>
      <x:c r="F8" s="40" t="str">
        <x:v>Sortie avec Alexia; intégration des familles</x:v>
      </x:c>
      <x:c r="G8" s="40" t="str">
        <x:v>Axe présence — inventaire complet</x:v>
      </x:c>
      <x:c r="H8" s="40" t="str">
        <x:v>explicitement listée dans l'axe</x:v>
      </x:c>
      <x:c r="I8" s="40" t="str"/>
      <x:c r="J8" s="40" t="str">
        <x:v>contexte comparatif transversal</x:v>
      </x:c>
      <x:c r="K8" s="40" t="str">
        <x:v>Référence interne identifiable</x:v>
      </x:c>
    </x:row>
    <x:row r="9">
      <x:c r="A9" s="42" t="n">
        <x:v>8</x:v>
      </x:c>
      <x:c r="B9" s="40" t="str">
        <x:v>Event id=36</x:v>
      </x:c>
      <x:c r="C9" s="40" t="str"/>
      <x:c r="D9" s="40" t="str">
        <x:v>2010-12-24</x:v>
      </x:c>
      <x:c r="E9" s="40" t="str">
        <x:v>Événement photographique / photographie horodatée</x:v>
      </x:c>
      <x:c r="F9" s="40" t="str">
        <x:v>Présence avec Alexia dans la famille paternelle</x:v>
      </x:c>
      <x:c r="G9" s="40" t="str">
        <x:v>Axe présence — inventaire complet</x:v>
      </x:c>
      <x:c r="H9" s="40" t="str">
        <x:v>explicitement listée dans l'axe</x:v>
      </x:c>
      <x:c r="I9" s="40" t="str"/>
      <x:c r="J9" s="40" t="str">
        <x:v>contexte comparatif transversal</x:v>
      </x:c>
      <x:c r="K9" s="40" t="str">
        <x:v>Référence interne identifiable</x:v>
      </x:c>
    </x:row>
    <x:row r="10">
      <x:c r="A10" s="42" t="n">
        <x:v>9</x:v>
      </x:c>
      <x:c r="B10" s="40" t="str">
        <x:v>Event id=37</x:v>
      </x:c>
      <x:c r="C10" s="40" t="str"/>
      <x:c r="D10" s="40" t="str">
        <x:v>2010-12-27</x:v>
      </x:c>
      <x:c r="E10" s="40" t="str">
        <x:v>Événement photographique / photographie horodatée</x:v>
      </x:c>
      <x:c r="F10" s="40" t="str">
        <x:v>Présence avec Alexia dans la famille paternelle</x:v>
      </x:c>
      <x:c r="G10" s="40" t="str">
        <x:v>Axe présence — inventaire complet</x:v>
      </x:c>
      <x:c r="H10" s="40" t="str">
        <x:v>explicitement listée dans l'axe</x:v>
      </x:c>
      <x:c r="I10" s="40" t="str"/>
      <x:c r="J10" s="40" t="str">
        <x:v>contexte comparatif transversal</x:v>
      </x:c>
      <x:c r="K10" s="40" t="str">
        <x:v>Référence interne identifiable</x:v>
      </x:c>
    </x:row>
    <x:row r="11">
      <x:c r="A11" s="42" t="n">
        <x:v>10</x:v>
      </x:c>
      <x:c r="B11" s="40" t="str">
        <x:v>Event id=45</x:v>
      </x:c>
      <x:c r="C11" s="40" t="str"/>
      <x:c r="D11" s="40" t="str">
        <x:v>2011-01-30</x:v>
      </x:c>
      <x:c r="E11" s="40" t="str">
        <x:v>Événement photographique / photographie horodatée</x:v>
      </x:c>
      <x:c r="F11" s="40" t="str">
        <x:v>Soins à Alexia en présence de la sœur du père</x:v>
      </x:c>
      <x:c r="G11" s="40" t="str">
        <x:v>Axe présence — inventaire complet</x:v>
      </x:c>
      <x:c r="H11" s="40" t="str">
        <x:v>explicitement listée dans l'axe</x:v>
      </x:c>
      <x:c r="I11" s="40" t="str"/>
      <x:c r="J11" s="40" t="str">
        <x:v>contexte comparatif transversal</x:v>
      </x:c>
      <x:c r="K11" s="40" t="str">
        <x:v>Référence interne identifiable</x:v>
      </x:c>
    </x:row>
    <x:row r="12">
      <x:c r="A12" s="42" t="n">
        <x:v>11</x:v>
      </x:c>
      <x:c r="B12" s="40" t="str">
        <x:v>Event id=49</x:v>
      </x:c>
      <x:c r="C12" s="40" t="str"/>
      <x:c r="D12" s="40" t="str">
        <x:v>2011-02-13</x:v>
      </x:c>
      <x:c r="E12" s="40" t="str">
        <x:v>Événement photographique / photographie horodatée</x:v>
      </x:c>
      <x:c r="F12" s="40" t="str">
        <x:v>Présence avec Alexia</x:v>
      </x:c>
      <x:c r="G12" s="40" t="str">
        <x:v>Axe présence — inventaire complet</x:v>
      </x:c>
      <x:c r="H12" s="40" t="str">
        <x:v>explicitement listée dans l'axe</x:v>
      </x:c>
      <x:c r="I12" s="40" t="str"/>
      <x:c r="J12" s="40" t="str">
        <x:v>contexte comparatif transversal</x:v>
      </x:c>
      <x:c r="K12" s="40" t="str">
        <x:v>Référence interne identifiable</x:v>
      </x:c>
    </x:row>
    <x:row r="13">
      <x:c r="A13" s="42" t="n">
        <x:v>12</x:v>
      </x:c>
      <x:c r="B13" s="40" t="str">
        <x:v>Event id=53</x:v>
      </x:c>
      <x:c r="C13" s="40" t="str"/>
      <x:c r="D13" s="40" t="str">
        <x:v>2011-03-20</x:v>
      </x:c>
      <x:c r="E13" s="40" t="str">
        <x:v>Événement photographique / photographie horodatée</x:v>
      </x:c>
      <x:c r="F13" s="40" t="str">
        <x:v>Présence avec Alexia</x:v>
      </x:c>
      <x:c r="G13" s="40" t="str">
        <x:v>Axe présence — inventaire complet</x:v>
      </x:c>
      <x:c r="H13" s="40" t="str">
        <x:v>explicitement listée dans l'axe</x:v>
      </x:c>
      <x:c r="I13" s="40" t="str"/>
      <x:c r="J13" s="40" t="str">
        <x:v>contexte comparatif transversal</x:v>
      </x:c>
      <x:c r="K13" s="40" t="str">
        <x:v>Référence interne identifiable</x:v>
      </x:c>
    </x:row>
    <x:row r="14">
      <x:c r="A14" s="42" t="n">
        <x:v>13</x:v>
      </x:c>
      <x:c r="B14" s="40" t="str">
        <x:v>Event id=54</x:v>
      </x:c>
      <x:c r="C14" s="40" t="str"/>
      <x:c r="D14" s="40" t="str">
        <x:v>2011-04-03</x:v>
      </x:c>
      <x:c r="E14" s="40" t="str">
        <x:v>Événement photographique / photographie horodatée</x:v>
      </x:c>
      <x:c r="F14" s="40" t="str">
        <x:v>Sortie avec Alexia</x:v>
      </x:c>
      <x:c r="G14" s="40" t="str">
        <x:v>Axe présence — inventaire complet</x:v>
      </x:c>
      <x:c r="H14" s="40" t="str">
        <x:v>explicitement listée dans l'axe</x:v>
      </x:c>
      <x:c r="I14" s="40" t="str"/>
      <x:c r="J14" s="40" t="str">
        <x:v>contexte comparatif transversal</x:v>
      </x:c>
      <x:c r="K14" s="40" t="str">
        <x:v>Référence interne identifiable</x:v>
      </x:c>
    </x:row>
    <x:row r="15">
      <x:c r="A15" s="42" t="n">
        <x:v>14</x:v>
      </x:c>
      <x:c r="B15" s="40" t="str">
        <x:v>Event id=56</x:v>
      </x:c>
      <x:c r="C15" s="40" t="str"/>
      <x:c r="D15" s="40" t="str">
        <x:v>2011-04-22</x:v>
      </x:c>
      <x:c r="E15" s="40" t="str">
        <x:v>Événement photographique / photographie horodatée</x:v>
      </x:c>
      <x:c r="F15" s="40" t="str">
        <x:v>Sortie avec Alexia</x:v>
      </x:c>
      <x:c r="G15" s="40" t="str">
        <x:v>Axe présence — inventaire complet</x:v>
      </x:c>
      <x:c r="H15" s="40" t="str">
        <x:v>explicitement listée dans l'axe</x:v>
      </x:c>
      <x:c r="I15" s="40" t="str"/>
      <x:c r="J15" s="40" t="str">
        <x:v>contexte comparatif transversal</x:v>
      </x:c>
      <x:c r="K15" s="40" t="str">
        <x:v>Référence interne identifiable</x:v>
      </x:c>
    </x:row>
    <x:row r="16">
      <x:c r="A16" s="42" t="n">
        <x:v>15</x:v>
      </x:c>
      <x:c r="B16" s="40" t="str">
        <x:v>Event id=61</x:v>
      </x:c>
      <x:c r="C16" s="40" t="str"/>
      <x:c r="D16" s="40" t="str">
        <x:v>2011-05-01</x:v>
      </x:c>
      <x:c r="E16" s="40" t="str">
        <x:v>Événement photographique / photographie horodatée</x:v>
      </x:c>
      <x:c r="F16" s="40" t="str">
        <x:v>Présence avec Alexia</x:v>
      </x:c>
      <x:c r="G16" s="40" t="str">
        <x:v>Axe présence — inventaire complet</x:v>
      </x:c>
      <x:c r="H16" s="40" t="str">
        <x:v>explicitement listée dans l'axe</x:v>
      </x:c>
      <x:c r="I16" s="40" t="str"/>
      <x:c r="J16" s="40" t="str">
        <x:v>contexte comparatif transversal</x:v>
      </x:c>
      <x:c r="K16" s="40" t="str">
        <x:v>Référence interne identifiable</x:v>
      </x:c>
    </x:row>
    <x:row r="17">
      <x:c r="A17" s="42" t="n">
        <x:v>16</x:v>
      </x:c>
      <x:c r="B17" s="40" t="str">
        <x:v>Event id=62</x:v>
      </x:c>
      <x:c r="C17" s="40" t="str"/>
      <x:c r="D17" s="40" t="str">
        <x:v>2011-05-07</x:v>
      </x:c>
      <x:c r="E17" s="40" t="str">
        <x:v>Événement photographique / photographie horodatée</x:v>
      </x:c>
      <x:c r="F17" s="40" t="str">
        <x:v>Présence active au cours d'Alexia</x:v>
      </x:c>
      <x:c r="G17" s="40" t="str">
        <x:v>Axe présence — inventaire complet</x:v>
      </x:c>
      <x:c r="H17" s="40" t="str">
        <x:v>explicitement listée dans l'axe</x:v>
      </x:c>
      <x:c r="I17" s="40" t="str"/>
      <x:c r="J17" s="40" t="str">
        <x:v>contexte comparatif transversal</x:v>
      </x:c>
      <x:c r="K17" s="40" t="str">
        <x:v>Référence interne identifiable</x:v>
      </x:c>
    </x:row>
    <x:row r="18">
      <x:c r="A18" s="42" t="n">
        <x:v>17</x:v>
      </x:c>
      <x:c r="B18" s="40" t="str">
        <x:v>Event id=63</x:v>
      </x:c>
      <x:c r="C18" s="40" t="str"/>
      <x:c r="D18" s="40" t="str">
        <x:v>non précisé dans les fichiers examinés</x:v>
      </x:c>
      <x:c r="E18" s="40" t="str">
        <x:v>Événement photographique / photographie horodatée</x:v>
      </x:c>
      <x:c r="F18" s="40" t="str">
        <x:v>Référence incluse dans la requête DB de l'axe, mais omise du tableau descriptif</x:v>
      </x:c>
      <x:c r="G18" s="40" t="str">
        <x:v>Axe présence — inventaire complet</x:v>
      </x:c>
      <x:c r="H18" s="40" t="str">
        <x:v>explicitement listée dans l'axe</x:v>
      </x:c>
      <x:c r="I18" s="40" t="str">
        <x:v>Identifiant présent dans un inventaire/requête DB, mais événement non décrit individuellement.</x:v>
      </x:c>
      <x:c r="J18" s="40" t="str">
        <x:v>contexte comparatif transversal</x:v>
      </x:c>
      <x:c r="K18" s="40" t="str">
        <x:v>Référence interne identifiable</x:v>
      </x:c>
    </x:row>
    <x:row r="19">
      <x:c r="A19" s="42" t="n">
        <x:v>18</x:v>
      </x:c>
      <x:c r="B19" s="40" t="str">
        <x:v>Event id=64</x:v>
      </x:c>
      <x:c r="C19" s="40" t="str"/>
      <x:c r="D19" s="40" t="str">
        <x:v>2011-05-08</x:v>
      </x:c>
      <x:c r="E19" s="40" t="str">
        <x:v>Événement photographique / photographie horodatée</x:v>
      </x:c>
      <x:c r="F19" s="40" t="str">
        <x:v>Présence avec Alexia</x:v>
      </x:c>
      <x:c r="G19" s="40" t="str">
        <x:v>Axe présence — inventaire complet</x:v>
      </x:c>
      <x:c r="H19" s="40" t="str">
        <x:v>explicitement listée dans l'axe</x:v>
      </x:c>
      <x:c r="I19" s="40" t="str"/>
      <x:c r="J19" s="40" t="str">
        <x:v>contexte comparatif transversal</x:v>
      </x:c>
      <x:c r="K19" s="40" t="str">
        <x:v>Référence interne identifiable</x:v>
      </x:c>
    </x:row>
    <x:row r="20">
      <x:c r="A20" s="42" t="n">
        <x:v>19</x:v>
      </x:c>
      <x:c r="B20" s="40" t="str">
        <x:v>Event id=70</x:v>
      </x:c>
      <x:c r="C20" s="40" t="str"/>
      <x:c r="D20" s="40" t="str">
        <x:v>2011-06-01</x:v>
      </x:c>
      <x:c r="E20" s="40" t="str">
        <x:v>Événement photographique / photographie horodatée</x:v>
      </x:c>
      <x:c r="F20" s="40" t="str">
        <x:v>Sortie avec Alexia</x:v>
      </x:c>
      <x:c r="G20" s="40" t="str">
        <x:v>Axe présence — inventaire complet</x:v>
      </x:c>
      <x:c r="H20" s="40" t="str">
        <x:v>explicitement listée dans l'axe</x:v>
      </x:c>
      <x:c r="I20" s="40" t="str"/>
      <x:c r="J20" s="40" t="str">
        <x:v>contexte comparatif transversal</x:v>
      </x:c>
      <x:c r="K20" s="40" t="str">
        <x:v>Référence interne identifiable</x:v>
      </x:c>
    </x:row>
    <x:row r="21">
      <x:c r="A21" s="42" t="n">
        <x:v>20</x:v>
      </x:c>
      <x:c r="B21" s="40" t="str">
        <x:v>Event id=71</x:v>
      </x:c>
      <x:c r="C21" s="40" t="str"/>
      <x:c r="D21" s="40" t="str">
        <x:v>2011-06-04</x:v>
      </x:c>
      <x:c r="E21" s="40" t="str">
        <x:v>Événement photographique / photographie horodatée</x:v>
      </x:c>
      <x:c r="F21" s="40" t="str">
        <x:v>Sortie avec Alexia dans le réseau social du père</x:v>
      </x:c>
      <x:c r="G21" s="40" t="str">
        <x:v>Axe présence — inventaire complet</x:v>
      </x:c>
      <x:c r="H21" s="40" t="str">
        <x:v>explicitement listée dans l'axe</x:v>
      </x:c>
      <x:c r="I21" s="40" t="str"/>
      <x:c r="J21" s="40" t="str">
        <x:v>contexte comparatif transversal</x:v>
      </x:c>
      <x:c r="K21" s="40" t="str">
        <x:v>Référence interne identifiable</x:v>
      </x:c>
    </x:row>
    <x:row r="22">
      <x:c r="A22" s="42" t="n">
        <x:v>21</x:v>
      </x:c>
      <x:c r="B22" s="40" t="str">
        <x:v>Event id=72</x:v>
      </x:c>
      <x:c r="C22" s="40" t="str"/>
      <x:c r="D22" s="40" t="str">
        <x:v>2011-06-06</x:v>
      </x:c>
      <x:c r="E22" s="40" t="str">
        <x:v>Événement photographique / photographie horodatée</x:v>
      </x:c>
      <x:c r="F22" s="40" t="str">
        <x:v>Présence avec Alexia</x:v>
      </x:c>
      <x:c r="G22" s="40" t="str">
        <x:v>Axe présence — inventaire complet</x:v>
      </x:c>
      <x:c r="H22" s="40" t="str">
        <x:v>explicitement listée dans l'axe</x:v>
      </x:c>
      <x:c r="I22" s="40" t="str"/>
      <x:c r="J22" s="40" t="str">
        <x:v>contexte comparatif transversal</x:v>
      </x:c>
      <x:c r="K22" s="40" t="str">
        <x:v>Référence interne identifiable</x:v>
      </x:c>
    </x:row>
    <x:row r="23">
      <x:c r="A23" s="42" t="n">
        <x:v>22</x:v>
      </x:c>
      <x:c r="B23" s="40" t="str">
        <x:v>Event id=75</x:v>
      </x:c>
      <x:c r="C23" s="40" t="str"/>
      <x:c r="D23" s="40" t="str">
        <x:v>2011-06-18</x:v>
      </x:c>
      <x:c r="E23" s="40" t="str">
        <x:v>Événement photographique / photographie horodatée</x:v>
      </x:c>
      <x:c r="F23" s="40" t="str">
        <x:v>Première sortie de la journée avec Alexia</x:v>
      </x:c>
      <x:c r="G23" s="40" t="str">
        <x:v>Axe présence — inventaire complet</x:v>
      </x:c>
      <x:c r="H23" s="40" t="str">
        <x:v>explicitement listée dans l'axe</x:v>
      </x:c>
      <x:c r="I23" s="40" t="str"/>
      <x:c r="J23" s="40" t="str">
        <x:v>contexte comparatif transversal</x:v>
      </x:c>
      <x:c r="K23" s="40" t="str">
        <x:v>Référence interne identifiable</x:v>
      </x:c>
    </x:row>
    <x:row r="24">
      <x:c r="A24" s="42" t="n">
        <x:v>23</x:v>
      </x:c>
      <x:c r="B24" s="40" t="str">
        <x:v>Event id=76</x:v>
      </x:c>
      <x:c r="C24" s="40" t="str"/>
      <x:c r="D24" s="40" t="str">
        <x:v>2011-06-18</x:v>
      </x:c>
      <x:c r="E24" s="40" t="str">
        <x:v>Événement photographique / photographie horodatée</x:v>
      </x:c>
      <x:c r="F24" s="40" t="str">
        <x:v>Deuxième sortie de la journée avec Alexia</x:v>
      </x:c>
      <x:c r="G24" s="40" t="str">
        <x:v>Axe présence — inventaire complet</x:v>
      </x:c>
      <x:c r="H24" s="40" t="str">
        <x:v>explicitement listée dans l'axe</x:v>
      </x:c>
      <x:c r="I24" s="40" t="str"/>
      <x:c r="J24" s="40" t="str">
        <x:v>contexte comparatif transversal</x:v>
      </x:c>
      <x:c r="K24" s="40" t="str">
        <x:v>Référence interne identifiable</x:v>
      </x:c>
    </x:row>
    <x:row r="25">
      <x:c r="A25" s="42" t="n">
        <x:v>24</x:v>
      </x:c>
      <x:c r="B25" s="40" t="str">
        <x:v>Event id=77</x:v>
      </x:c>
      <x:c r="C25" s="40" t="str"/>
      <x:c r="D25" s="40" t="str">
        <x:v>2011-06-18</x:v>
      </x:c>
      <x:c r="E25" s="40" t="str">
        <x:v>Événement photographique / photographie horodatée</x:v>
      </x:c>
      <x:c r="F25" s="40" t="str">
        <x:v>Présence avec Alexia</x:v>
      </x:c>
      <x:c r="G25" s="40" t="str">
        <x:v>Axe présence — inventaire complet</x:v>
      </x:c>
      <x:c r="H25" s="40" t="str">
        <x:v>explicitement listée dans l'axe</x:v>
      </x:c>
      <x:c r="I25" s="40" t="str"/>
      <x:c r="J25" s="40" t="str">
        <x:v>contexte comparatif transversal</x:v>
      </x:c>
      <x:c r="K25" s="40" t="str">
        <x:v>Référence interne identifiable</x:v>
      </x:c>
    </x:row>
    <x:row r="26">
      <x:c r="A26" s="42" t="n">
        <x:v>25</x:v>
      </x:c>
      <x:c r="B26" s="40" t="str">
        <x:v>Event id=79</x:v>
      </x:c>
      <x:c r="C26" s="40" t="str"/>
      <x:c r="D26" s="40" t="str">
        <x:v>2011-06-24</x:v>
      </x:c>
      <x:c r="E26" s="40" t="str">
        <x:v>Événement photographique / photographie horodatée</x:v>
      </x:c>
      <x:c r="F26" s="40" t="str">
        <x:v>Sortie avec Alexia</x:v>
      </x:c>
      <x:c r="G26" s="40" t="str">
        <x:v>Axe présence — inventaire complet</x:v>
      </x:c>
      <x:c r="H26" s="40" t="str">
        <x:v>explicitement listée dans l'axe</x:v>
      </x:c>
      <x:c r="I26" s="40" t="str"/>
      <x:c r="J26" s="40" t="str">
        <x:v>contexte comparatif transversal</x:v>
      </x:c>
      <x:c r="K26" s="40" t="str">
        <x:v>Référence interne identifiable</x:v>
      </x:c>
    </x:row>
    <x:row r="27">
      <x:c r="A27" s="42" t="n">
        <x:v>26</x:v>
      </x:c>
      <x:c r="B27" s="40" t="str">
        <x:v>Event id=80</x:v>
      </x:c>
      <x:c r="C27" s="40" t="str"/>
      <x:c r="D27" s="40" t="str">
        <x:v>2011-06-25</x:v>
      </x:c>
      <x:c r="E27" s="40" t="str">
        <x:v>Événement photographique / photographie horodatée</x:v>
      </x:c>
      <x:c r="F27" s="40" t="str">
        <x:v>Sortie avec Alexia</x:v>
      </x:c>
      <x:c r="G27" s="40" t="str">
        <x:v>Axe présence — inventaire complet</x:v>
      </x:c>
      <x:c r="H27" s="40" t="str">
        <x:v>explicitement listée dans l'axe</x:v>
      </x:c>
      <x:c r="I27" s="40" t="str"/>
      <x:c r="J27" s="40" t="str">
        <x:v>contexte comparatif transversal</x:v>
      </x:c>
      <x:c r="K27" s="40" t="str">
        <x:v>Référence interne identifiable</x:v>
      </x:c>
    </x:row>
    <x:row r="28">
      <x:c r="A28" s="42" t="n">
        <x:v>27</x:v>
      </x:c>
      <x:c r="B28" s="40" t="str">
        <x:v>Event id=82</x:v>
      </x:c>
      <x:c r="C28" s="40" t="str"/>
      <x:c r="D28" s="40" t="str">
        <x:v>2011-07-01</x:v>
      </x:c>
      <x:c r="E28" s="40" t="str">
        <x:v>Événement photographique / photographie horodatée</x:v>
      </x:c>
      <x:c r="F28" s="40" t="str">
        <x:v>Sortie avec Alexia</x:v>
      </x:c>
      <x:c r="G28" s="40" t="str">
        <x:v>Axe présence — inventaire complet</x:v>
      </x:c>
      <x:c r="H28" s="40" t="str">
        <x:v>explicitement listée dans l'axe</x:v>
      </x:c>
      <x:c r="I28" s="40" t="str"/>
      <x:c r="J28" s="40" t="str">
        <x:v>contexte comparatif transversal</x:v>
      </x:c>
      <x:c r="K28" s="40" t="str">
        <x:v>Référence interne identifiable</x:v>
      </x:c>
    </x:row>
    <x:row r="29">
      <x:c r="A29" s="42" t="n">
        <x:v>28</x:v>
      </x:c>
      <x:c r="B29" s="40" t="str">
        <x:v>Event id=83</x:v>
      </x:c>
      <x:c r="C29" s="40" t="str"/>
      <x:c r="D29" s="40" t="str">
        <x:v>2011-07-02</x:v>
      </x:c>
      <x:c r="E29" s="40" t="str">
        <x:v>Événement photographique / photographie horodatée</x:v>
      </x:c>
      <x:c r="F29" s="40" t="str">
        <x:v>Sortie matinale avec Alexia</x:v>
      </x:c>
      <x:c r="G29" s="40" t="str">
        <x:v>Axe présence — inventaire complet</x:v>
      </x:c>
      <x:c r="H29" s="40" t="str">
        <x:v>explicitement listée dans l'axe</x:v>
      </x:c>
      <x:c r="I29" s="40" t="str"/>
      <x:c r="J29" s="40" t="str">
        <x:v>contexte comparatif transversal</x:v>
      </x:c>
      <x:c r="K29" s="40" t="str">
        <x:v>Référence interne identifiable</x:v>
      </x:c>
    </x:row>
    <x:row r="30">
      <x:c r="A30" s="42" t="n">
        <x:v>29</x:v>
      </x:c>
      <x:c r="B30" s="40" t="str">
        <x:v>Event id=84</x:v>
      </x:c>
      <x:c r="C30" s="40" t="str"/>
      <x:c r="D30" s="40" t="str">
        <x:v>2011-07-02</x:v>
      </x:c>
      <x:c r="E30" s="40" t="str">
        <x:v>Événement photographique / photographie horodatée</x:v>
      </x:c>
      <x:c r="F30" s="40" t="str">
        <x:v>Sortie d'après-midi avec Alexia</x:v>
      </x:c>
      <x:c r="G30" s="40" t="str">
        <x:v>Axe présence — inventaire complet</x:v>
      </x:c>
      <x:c r="H30" s="40" t="str">
        <x:v>explicitement listée dans l'axe</x:v>
      </x:c>
      <x:c r="I30" s="40" t="str"/>
      <x:c r="J30" s="40" t="str">
        <x:v>contexte comparatif transversal</x:v>
      </x:c>
      <x:c r="K30" s="40" t="str">
        <x:v>Référence interne identifiable</x:v>
      </x:c>
    </x:row>
    <x:row r="31">
      <x:c r="A31" s="42" t="n">
        <x:v>30</x:v>
      </x:c>
      <x:c r="B31" s="40" t="str">
        <x:v>Event id=87</x:v>
      </x:c>
      <x:c r="C31" s="40" t="str"/>
      <x:c r="D31" s="40" t="str">
        <x:v>2011-07-10</x:v>
      </x:c>
      <x:c r="E31" s="40" t="str">
        <x:v>Événement photographique / photographie horodatée</x:v>
      </x:c>
      <x:c r="F31" s="40" t="str">
        <x:v>Intégration d'Alexia à la famille paternelle</x:v>
      </x:c>
      <x:c r="G31" s="40" t="str">
        <x:v>Axe présence — inventaire complet</x:v>
      </x:c>
      <x:c r="H31" s="40" t="str">
        <x:v>explicitement listée dans l'axe</x:v>
      </x:c>
      <x:c r="I31" s="40" t="str"/>
      <x:c r="J31" s="40" t="str">
        <x:v>contexte comparatif transversal</x:v>
      </x:c>
      <x:c r="K31" s="40" t="str">
        <x:v>Référence interne identifiable</x:v>
      </x:c>
    </x:row>
    <x:row r="32">
      <x:c r="A32" s="42" t="n">
        <x:v>31</x:v>
      </x:c>
      <x:c r="B32" s="40" t="str">
        <x:v>Event id=88</x:v>
      </x:c>
      <x:c r="C32" s="40" t="str"/>
      <x:c r="D32" s="40" t="str">
        <x:v>2011-07-24</x:v>
      </x:c>
      <x:c r="E32" s="40" t="str">
        <x:v>Événement photographique / photographie horodatée</x:v>
      </x:c>
      <x:c r="F32" s="40" t="str">
        <x:v>Sortie avec Alexia et Élise</x:v>
      </x:c>
      <x:c r="G32" s="40" t="str">
        <x:v>Axe présence — inventaire complet</x:v>
      </x:c>
      <x:c r="H32" s="40" t="str">
        <x:v>explicitement listée dans l'axe</x:v>
      </x:c>
      <x:c r="I32" s="40" t="str"/>
      <x:c r="J32" s="40" t="str">
        <x:v>contexte comparatif transversal</x:v>
      </x:c>
      <x:c r="K32" s="40" t="str">
        <x:v>Référence interne identifiable</x:v>
      </x:c>
    </x:row>
    <x:row r="33">
      <x:c r="A33" s="42" t="n">
        <x:v>32</x:v>
      </x:c>
      <x:c r="B33" s="40" t="str">
        <x:v>Event id=89</x:v>
      </x:c>
      <x:c r="C33" s="40" t="str"/>
      <x:c r="D33" s="40" t="str">
        <x:v>2011-07-24</x:v>
      </x:c>
      <x:c r="E33" s="40" t="str">
        <x:v>Événement photographique / photographie horodatée</x:v>
      </x:c>
      <x:c r="F33" s="40" t="str">
        <x:v>Présence avec Alexia</x:v>
      </x:c>
      <x:c r="G33" s="40" t="str">
        <x:v>Axe présence — inventaire complet</x:v>
      </x:c>
      <x:c r="H33" s="40" t="str">
        <x:v>explicitement listée dans l'axe</x:v>
      </x:c>
      <x:c r="I33" s="40" t="str"/>
      <x:c r="J33" s="40" t="str">
        <x:v>contexte comparatif transversal</x:v>
      </x:c>
      <x:c r="K33" s="40" t="str">
        <x:v>Référence interne identifiable</x:v>
      </x:c>
    </x:row>
    <x:row r="34">
      <x:c r="A34" s="42" t="n">
        <x:v>33</x:v>
      </x:c>
      <x:c r="B34" s="40" t="str">
        <x:v>Event id=91</x:v>
      </x:c>
      <x:c r="C34" s="40" t="str"/>
      <x:c r="D34" s="40" t="str">
        <x:v>2011-07-30</x:v>
      </x:c>
      <x:c r="E34" s="40" t="str">
        <x:v>Événement photographique / photographie horodatée</x:v>
      </x:c>
      <x:c r="F34" s="40" t="str">
        <x:v>Sortie avec Alexia; retirée seulement de la catégorie famille paternelle</x:v>
      </x:c>
      <x:c r="G34" s="40" t="str">
        <x:v>Axe présence — inventaire complet</x:v>
      </x:c>
      <x:c r="H34" s="40" t="str">
        <x:v>explicitement listée dans l'axe</x:v>
      </x:c>
      <x:c r="I34" s="40" t="str">
        <x:v>L'axe signale une reclassification de catégorie; la pièce demeure dans l'union.</x:v>
      </x:c>
      <x:c r="J34" s="40" t="str">
        <x:v>contexte comparatif transversal</x:v>
      </x:c>
      <x:c r="K34" s="40" t="str">
        <x:v>Référence interne identifiable</x:v>
      </x:c>
    </x:row>
    <x:row r="35">
      <x:c r="A35" s="42" t="n">
        <x:v>34</x:v>
      </x:c>
      <x:c r="B35" s="40" t="str">
        <x:v>Event id=106</x:v>
      </x:c>
      <x:c r="C35" s="40" t="str"/>
      <x:c r="D35" s="40" t="str">
        <x:v>2011-08-19</x:v>
      </x:c>
      <x:c r="E35" s="40" t="str">
        <x:v>Événement photographique / photographie horodatée</x:v>
      </x:c>
      <x:c r="F35" s="40" t="str">
        <x:v>Sortie familiale</x:v>
      </x:c>
      <x:c r="G35" s="40" t="str">
        <x:v>Axe présence — inventaire complet</x:v>
      </x:c>
      <x:c r="H35" s="40" t="str">
        <x:v>explicitement listée dans l'axe</x:v>
      </x:c>
      <x:c r="I35" s="40" t="str"/>
      <x:c r="J35" s="40" t="str">
        <x:v>contexte comparatif transversal</x:v>
      </x:c>
      <x:c r="K35" s="40" t="str">
        <x:v>Référence interne identifiable</x:v>
      </x:c>
    </x:row>
    <x:row r="36">
      <x:c r="A36" s="42" t="n">
        <x:v>35</x:v>
      </x:c>
      <x:c r="B36" s="40" t="str">
        <x:v>Event id=107</x:v>
      </x:c>
      <x:c r="C36" s="40" t="str"/>
      <x:c r="D36" s="40" t="str">
        <x:v>2011-09-04</x:v>
      </x:c>
      <x:c r="E36" s="40" t="str">
        <x:v>Événement photographique / photographie horodatée</x:v>
      </x:c>
      <x:c r="F36" s="40" t="str">
        <x:v>Sortie familiale</x:v>
      </x:c>
      <x:c r="G36" s="40" t="str">
        <x:v>Axe présence — inventaire complet</x:v>
      </x:c>
      <x:c r="H36" s="40" t="str">
        <x:v>explicitement listée dans l'axe</x:v>
      </x:c>
      <x:c r="I36" s="40" t="str"/>
      <x:c r="J36" s="40" t="str">
        <x:v>contexte comparatif transversal</x:v>
      </x:c>
      <x:c r="K36" s="40" t="str">
        <x:v>Référence interne identifiable</x:v>
      </x:c>
    </x:row>
    <x:row r="37">
      <x:c r="A37" s="42" t="n">
        <x:v>36</x:v>
      </x:c>
      <x:c r="B37" s="40" t="str">
        <x:v>Event id=109</x:v>
      </x:c>
      <x:c r="C37" s="40" t="str"/>
      <x:c r="D37" s="40" t="str">
        <x:v>2011-09-10</x:v>
      </x:c>
      <x:c r="E37" s="40" t="str">
        <x:v>Événement photographique / photographie horodatée</x:v>
      </x:c>
      <x:c r="F37" s="40" t="str">
        <x:v>Présence avec Alexia et Élise; lien familial à vérifier</x:v>
      </x:c>
      <x:c r="G37" s="40" t="str">
        <x:v>Axe présence — inventaire complet</x:v>
      </x:c>
      <x:c r="H37" s="40" t="str">
        <x:v>explicitement listée dans l'axe</x:v>
      </x:c>
      <x:c r="I37" s="40" t="str">
        <x:v>Le lien de parenté paternel ou maternel est expressément à vérifier.</x:v>
      </x:c>
      <x:c r="J37" s="40" t="str">
        <x:v>contexte comparatif transversal</x:v>
      </x:c>
      <x:c r="K37" s="40" t="str">
        <x:v>Référence interne identifiable</x:v>
      </x:c>
    </x:row>
    <x:row r="38">
      <x:c r="A38" s="42" t="n">
        <x:v>37</x:v>
      </x:c>
      <x:c r="B38" s="40" t="str">
        <x:v>Event id=135</x:v>
      </x:c>
      <x:c r="C38" s="40" t="str"/>
      <x:c r="D38" s="40" t="str">
        <x:v>2011-12-10</x:v>
      </x:c>
      <x:c r="E38" s="40" t="str">
        <x:v>Événement photographique / photographie horodatée</x:v>
      </x:c>
      <x:c r="F38" s="40" t="str">
        <x:v>Deuxième visite avec Alexia dans le réseau social du père</x:v>
      </x:c>
      <x:c r="G38" s="40" t="str">
        <x:v>Axe présence — inventaire complet</x:v>
      </x:c>
      <x:c r="H38" s="40" t="str">
        <x:v>explicitement listée dans l'axe</x:v>
      </x:c>
      <x:c r="I38" s="40" t="str"/>
      <x:c r="J38" s="40" t="str">
        <x:v>contexte comparatif transversal</x:v>
      </x:c>
      <x:c r="K38" s="40" t="str">
        <x:v>Référence interne identifiable</x:v>
      </x:c>
    </x:row>
    <x:row r="39">
      <x:c r="A39" s="42" t="n">
        <x:v>38</x:v>
      </x:c>
      <x:c r="B39" s="40" t="str">
        <x:v>Event id=136</x:v>
      </x:c>
      <x:c r="C39" s="40" t="str"/>
      <x:c r="D39" s="40" t="str">
        <x:v>2011-12-11</x:v>
      </x:c>
      <x:c r="E39" s="40" t="str">
        <x:v>Événement photographique / photographie horodatée</x:v>
      </x:c>
      <x:c r="F39" s="40" t="str">
        <x:v>Présence active au cours d'Alexia</x:v>
      </x:c>
      <x:c r="G39" s="40" t="str">
        <x:v>Axe présence — inventaire complet</x:v>
      </x:c>
      <x:c r="H39" s="40" t="str">
        <x:v>explicitement listée dans l'axe</x:v>
      </x:c>
      <x:c r="I39" s="40" t="str"/>
      <x:c r="J39" s="40" t="str">
        <x:v>contexte comparatif transversal</x:v>
      </x:c>
      <x:c r="K39" s="40" t="str">
        <x:v>Référence interne identifiable</x:v>
      </x:c>
    </x:row>
    <x:row r="40">
      <x:c r="A40" s="42" t="n">
        <x:v>39</x:v>
      </x:c>
      <x:c r="B40" s="40" t="str">
        <x:v>Event id=140</x:v>
      </x:c>
      <x:c r="C40" s="40" t="str"/>
      <x:c r="D40" s="40" t="str">
        <x:v>2011-12-24</x:v>
      </x:c>
      <x:c r="E40" s="40" t="str">
        <x:v>Événement photographique / photographie horodatée</x:v>
      </x:c>
      <x:c r="F40" s="40" t="str">
        <x:v>Présence avec Alexia dans la famille paternelle</x:v>
      </x:c>
      <x:c r="G40" s="40" t="str">
        <x:v>Axe présence — inventaire complet</x:v>
      </x:c>
      <x:c r="H40" s="40" t="str">
        <x:v>explicitement listée dans l'axe</x:v>
      </x:c>
      <x:c r="I40" s="40" t="str"/>
      <x:c r="J40" s="40" t="str">
        <x:v>contexte comparatif transversal</x:v>
      </x:c>
      <x:c r="K40" s="40" t="str">
        <x:v>Référence interne identifiable</x:v>
      </x:c>
    </x:row>
    <x:row r="41">
      <x:c r="A41" s="42" t="n">
        <x:v>40</x:v>
      </x:c>
      <x:c r="B41" s="40" t="str">
        <x:v>Event id=141</x:v>
      </x:c>
      <x:c r="C41" s="40" t="str"/>
      <x:c r="D41" s="40" t="str">
        <x:v>non précisé dans les fichiers examinés</x:v>
      </x:c>
      <x:c r="E41" s="40" t="str">
        <x:v>Événement photographique / photographie horodatée</x:v>
      </x:c>
      <x:c r="F41" s="40" t="str">
        <x:v>Contexte familial maternel; retiré de la catégorie famille paternelle</x:v>
      </x:c>
      <x:c r="G41" s="40" t="str">
        <x:v>Axe présence — inventaire complet</x:v>
      </x:c>
      <x:c r="H41" s="40" t="str">
        <x:v>explicitement listée dans l'axe</x:v>
      </x:c>
      <x:c r="I41" s="40" t="str">
        <x:v>L'axe signale une reclassification de catégorie; la pièce demeure dans l'union.</x:v>
      </x:c>
      <x:c r="J41" s="40" t="str">
        <x:v>contexte comparatif transversal</x:v>
      </x:c>
      <x:c r="K41" s="40" t="str">
        <x:v>Référence interne identifiable</x:v>
      </x:c>
    </x:row>
    <x:row r="42">
      <x:c r="A42" s="42" t="n">
        <x:v>41</x:v>
      </x:c>
      <x:c r="B42" s="40" t="str">
        <x:v>Event id=150</x:v>
      </x:c>
      <x:c r="C42" s="40" t="str"/>
      <x:c r="D42" s="40" t="str">
        <x:v>2012-01-29</x:v>
      </x:c>
      <x:c r="E42" s="40" t="str">
        <x:v>Événement photographique / photographie horodatée</x:v>
      </x:c>
      <x:c r="F42" s="40" t="str">
        <x:v>Présence active au cours d'Alexia</x:v>
      </x:c>
      <x:c r="G42" s="40" t="str">
        <x:v>Axe présence — inventaire complet</x:v>
      </x:c>
      <x:c r="H42" s="40" t="str">
        <x:v>explicitement listée dans l'axe</x:v>
      </x:c>
      <x:c r="I42" s="40" t="str"/>
      <x:c r="J42" s="40" t="str">
        <x:v>contexte comparatif transversal</x:v>
      </x:c>
      <x:c r="K42" s="40" t="str">
        <x:v>Référence interne identifiable</x:v>
      </x:c>
    </x:row>
    <x:row r="43">
      <x:c r="A43" s="42" t="n">
        <x:v>42</x:v>
      </x:c>
      <x:c r="B43" s="40" t="str">
        <x:v>Event id=166</x:v>
      </x:c>
      <x:c r="C43" s="40" t="str"/>
      <x:c r="D43" s="40" t="str">
        <x:v>2012-03-31</x:v>
      </x:c>
      <x:c r="E43" s="40" t="str">
        <x:v>Événement photographique / photographie horodatée</x:v>
      </x:c>
      <x:c r="F43" s="40" t="str">
        <x:v>Jeu à la maison puis vélo avec Alexia</x:v>
      </x:c>
      <x:c r="G43" s="40" t="str">
        <x:v>Axe présence — inventaire complet</x:v>
      </x:c>
      <x:c r="H43" s="40" t="str">
        <x:v>explicitement listée dans l'axe</x:v>
      </x:c>
      <x:c r="I43" s="40" t="str"/>
      <x:c r="J43" s="40" t="str">
        <x:v>contexte comparatif transversal</x:v>
      </x:c>
      <x:c r="K43" s="40" t="str">
        <x:v>Référence interne identifiable</x:v>
      </x:c>
    </x:row>
    <x:row r="44">
      <x:c r="A44" s="42" t="n">
        <x:v>43</x:v>
      </x:c>
      <x:c r="B44" s="40" t="str">
        <x:v>Event id=171</x:v>
      </x:c>
      <x:c r="C44" s="40" t="str"/>
      <x:c r="D44" s="40" t="str">
        <x:v>2012-04-14</x:v>
      </x:c>
      <x:c r="E44" s="40" t="str">
        <x:v>Événement photographique / photographie horodatée</x:v>
      </x:c>
      <x:c r="F44" s="40" t="str">
        <x:v>Sortie avec Alexia</x:v>
      </x:c>
      <x:c r="G44" s="40" t="str">
        <x:v>Axe présence — inventaire complet</x:v>
      </x:c>
      <x:c r="H44" s="40" t="str">
        <x:v>explicitement listée dans l'axe</x:v>
      </x:c>
      <x:c r="I44" s="40" t="str"/>
      <x:c r="J44" s="40" t="str">
        <x:v>contexte comparatif transversal</x:v>
      </x:c>
      <x:c r="K44" s="40" t="str">
        <x:v>Référence interne identifiable</x:v>
      </x:c>
    </x:row>
    <x:row r="45">
      <x:c r="A45" s="42" t="n">
        <x:v>44</x:v>
      </x:c>
      <x:c r="B45" s="40" t="str">
        <x:v>Event id=172</x:v>
      </x:c>
      <x:c r="C45" s="40" t="str"/>
      <x:c r="D45" s="40" t="str">
        <x:v>2012-04-15</x:v>
      </x:c>
      <x:c r="E45" s="40" t="str">
        <x:v>Événement photographique / photographie horodatée</x:v>
      </x:c>
      <x:c r="F45" s="40" t="str">
        <x:v>Sortie avec Alexia</x:v>
      </x:c>
      <x:c r="G45" s="40" t="str">
        <x:v>Axe présence — inventaire complet</x:v>
      </x:c>
      <x:c r="H45" s="40" t="str">
        <x:v>explicitement listée dans l'axe</x:v>
      </x:c>
      <x:c r="I45" s="40" t="str"/>
      <x:c r="J45" s="40" t="str">
        <x:v>contexte comparatif transversal</x:v>
      </x:c>
      <x:c r="K45" s="40" t="str">
        <x:v>Référence interne identifiable</x:v>
      </x:c>
    </x:row>
    <x:row r="46">
      <x:c r="A46" s="42" t="n">
        <x:v>45</x:v>
      </x:c>
      <x:c r="B46" s="40" t="str">
        <x:v>Event id=178</x:v>
      </x:c>
      <x:c r="C46" s="40" t="str"/>
      <x:c r="D46" s="40" t="str">
        <x:v>2012-05-12</x:v>
      </x:c>
      <x:c r="E46" s="40" t="str">
        <x:v>Événement photographique / photographie horodatée</x:v>
      </x:c>
      <x:c r="F46" s="40" t="str">
        <x:v>Présence avec Alexia</x:v>
      </x:c>
      <x:c r="G46" s="40" t="str">
        <x:v>Axe présence — inventaire complet</x:v>
      </x:c>
      <x:c r="H46" s="40" t="str">
        <x:v>explicitement listée dans l'axe</x:v>
      </x:c>
      <x:c r="I46" s="40" t="str"/>
      <x:c r="J46" s="40" t="str">
        <x:v>contexte comparatif transversal</x:v>
      </x:c>
      <x:c r="K46" s="40" t="str">
        <x:v>Référence interne identifiable</x:v>
      </x:c>
    </x:row>
    <x:row r="47">
      <x:c r="A47" s="42" t="n">
        <x:v>46</x:v>
      </x:c>
      <x:c r="B47" s="40" t="str">
        <x:v>Event id=179</x:v>
      </x:c>
      <x:c r="C47" s="40" t="str"/>
      <x:c r="D47" s="40" t="str">
        <x:v>2012-05-12</x:v>
      </x:c>
      <x:c r="E47" s="40" t="str">
        <x:v>Événement photographique / photographie horodatée</x:v>
      </x:c>
      <x:c r="F47" s="40" t="str">
        <x:v>Deuxième événement le même jour avec Alexia</x:v>
      </x:c>
      <x:c r="G47" s="40" t="str">
        <x:v>Axe présence — inventaire complet</x:v>
      </x:c>
      <x:c r="H47" s="40" t="str">
        <x:v>explicitement listée dans l'axe</x:v>
      </x:c>
      <x:c r="I47" s="40" t="str"/>
      <x:c r="J47" s="40" t="str">
        <x:v>contexte comparatif transversal</x:v>
      </x:c>
      <x:c r="K47" s="40" t="str">
        <x:v>Référence interne identifiable</x:v>
      </x:c>
    </x:row>
    <x:row r="48">
      <x:c r="A48" s="42" t="n">
        <x:v>47</x:v>
      </x:c>
      <x:c r="B48" s="40" t="str">
        <x:v>Event id=180</x:v>
      </x:c>
      <x:c r="C48" s="40" t="str"/>
      <x:c r="D48" s="40" t="str">
        <x:v>2012-05-13</x:v>
      </x:c>
      <x:c r="E48" s="40" t="str">
        <x:v>Événement photographique / photographie horodatée</x:v>
      </x:c>
      <x:c r="F48" s="40" t="str">
        <x:v>Sortie avec Alexia</x:v>
      </x:c>
      <x:c r="G48" s="40" t="str">
        <x:v>Axe présence — inventaire complet</x:v>
      </x:c>
      <x:c r="H48" s="40" t="str">
        <x:v>explicitement listée dans l'axe</x:v>
      </x:c>
      <x:c r="I48" s="40" t="str"/>
      <x:c r="J48" s="40" t="str">
        <x:v>contexte comparatif transversal</x:v>
      </x:c>
      <x:c r="K48" s="40" t="str">
        <x:v>Référence interne identifiable</x:v>
      </x:c>
    </x:row>
    <x:row r="49">
      <x:c r="A49" s="42" t="n">
        <x:v>48</x:v>
      </x:c>
      <x:c r="B49" s="40" t="str">
        <x:v>Event id=185</x:v>
      </x:c>
      <x:c r="C49" s="40" t="str"/>
      <x:c r="D49" s="40" t="str">
        <x:v>2012-05-26</x:v>
      </x:c>
      <x:c r="E49" s="40" t="str">
        <x:v>Événement photographique / photographie horodatée</x:v>
      </x:c>
      <x:c r="F49" s="40" t="str">
        <x:v>Troisième visite avec Alexia dans le réseau social du père</x:v>
      </x:c>
      <x:c r="G49" s="40" t="str">
        <x:v>Axe présence — inventaire complet</x:v>
      </x:c>
      <x:c r="H49" s="40" t="str">
        <x:v>explicitement listée dans l'axe</x:v>
      </x:c>
      <x:c r="I49" s="40" t="str"/>
      <x:c r="J49" s="40" t="str">
        <x:v>contexte comparatif transversal</x:v>
      </x:c>
      <x:c r="K49" s="40" t="str">
        <x:v>Référence interne identifiable</x:v>
      </x:c>
    </x:row>
    <x:row r="50">
      <x:c r="A50" s="42" t="n">
        <x:v>49</x:v>
      </x:c>
      <x:c r="B50" s="40" t="str">
        <x:v>Event id=188</x:v>
      </x:c>
      <x:c r="C50" s="40" t="str"/>
      <x:c r="D50" s="40" t="str">
        <x:v>2012-06-16</x:v>
      </x:c>
      <x:c r="E50" s="40" t="str">
        <x:v>Événement photographique / photographie horodatée</x:v>
      </x:c>
      <x:c r="F50" s="40" t="str">
        <x:v>Présence avec Alexia</x:v>
      </x:c>
      <x:c r="G50" s="40" t="str">
        <x:v>Axe présence — inventaire complet</x:v>
      </x:c>
      <x:c r="H50" s="40" t="str">
        <x:v>explicitement listée dans l'axe</x:v>
      </x:c>
      <x:c r="I50" s="40" t="str"/>
      <x:c r="J50" s="40" t="str">
        <x:v>contexte comparatif transversal</x:v>
      </x:c>
      <x:c r="K50" s="40" t="str">
        <x:v>Référence interne identifiable</x:v>
      </x:c>
    </x:row>
    <x:row r="51">
      <x:c r="A51" s="42" t="n">
        <x:v>50</x:v>
      </x:c>
      <x:c r="B51" s="40" t="str">
        <x:v>Event id=190</x:v>
      </x:c>
      <x:c r="C51" s="40" t="str"/>
      <x:c r="D51" s="40" t="str">
        <x:v>2012-07-07</x:v>
      </x:c>
      <x:c r="E51" s="40" t="str">
        <x:v>Événement photographique / photographie horodatée</x:v>
      </x:c>
      <x:c r="F51" s="40" t="str">
        <x:v>Présence avec Alexia</x:v>
      </x:c>
      <x:c r="G51" s="40" t="str">
        <x:v>Axe présence — inventaire complet</x:v>
      </x:c>
      <x:c r="H51" s="40" t="str">
        <x:v>explicitement listée dans l'axe</x:v>
      </x:c>
      <x:c r="I51" s="40" t="str"/>
      <x:c r="J51" s="40" t="str">
        <x:v>contexte comparatif transversal</x:v>
      </x:c>
      <x:c r="K51" s="40" t="str">
        <x:v>Référence interne identifiable</x:v>
      </x:c>
    </x:row>
    <x:row r="52">
      <x:c r="A52" s="42" t="n">
        <x:v>51</x:v>
      </x:c>
      <x:c r="B52" s="40" t="str">
        <x:v>Event id=216</x:v>
      </x:c>
      <x:c r="C52" s="40" t="str"/>
      <x:c r="D52" s="40" t="str">
        <x:v>2012-10-20</x:v>
      </x:c>
      <x:c r="E52" s="40" t="str">
        <x:v>Événement photographique / photographie horodatée</x:v>
      </x:c>
      <x:c r="F52" s="40" t="str">
        <x:v>Présence avec Alexia</x:v>
      </x:c>
      <x:c r="G52" s="40" t="str">
        <x:v>Axe présence — inventaire complet</x:v>
      </x:c>
      <x:c r="H52" s="40" t="str">
        <x:v>explicitement listée dans l'axe</x:v>
      </x:c>
      <x:c r="I52" s="40" t="str"/>
      <x:c r="J52" s="40" t="str">
        <x:v>contexte comparatif transversal</x:v>
      </x:c>
      <x:c r="K52" s="40" t="str">
        <x:v>Référence interne identifiable</x:v>
      </x:c>
    </x:row>
    <x:row r="53">
      <x:c r="A53" s="42" t="n">
        <x:v>52</x:v>
      </x:c>
      <x:c r="B53" s="40" t="str">
        <x:v>Event id=222</x:v>
      </x:c>
      <x:c r="C53" s="40" t="str"/>
      <x:c r="D53" s="40" t="str">
        <x:v>2013-02-02</x:v>
      </x:c>
      <x:c r="E53" s="40" t="str">
        <x:v>Événement photographique / photographie horodatée</x:v>
      </x:c>
      <x:c r="F53" s="40" t="str">
        <x:v>Le père documente un moment familial fondateur</x:v>
      </x:c>
      <x:c r="G53" s="40" t="str">
        <x:v>Axe présence — inventaire complet</x:v>
      </x:c>
      <x:c r="H53" s="40" t="str">
        <x:v>explicitement listée dans l'axe</x:v>
      </x:c>
      <x:c r="I53" s="40" t="str"/>
      <x:c r="J53" s="40" t="str">
        <x:v>contexte comparatif transversal</x:v>
      </x:c>
      <x:c r="K53" s="40" t="str">
        <x:v>Référence interne identifiable</x:v>
      </x:c>
    </x:row>
    <x:row r="54">
      <x:c r="A54" s="42" t="n">
        <x:v>53</x:v>
      </x:c>
      <x:c r="B54" s="40" t="str">
        <x:v>Event id=234</x:v>
      </x:c>
      <x:c r="C54" s="40" t="str"/>
      <x:c r="D54" s="40" t="str">
        <x:v>2013-05-05</x:v>
      </x:c>
      <x:c r="E54" s="40" t="str">
        <x:v>Événement photographique / photographie horodatée</x:v>
      </x:c>
      <x:c r="F54" s="40" t="str">
        <x:v>Sortie à vélo avec Alexia pendant qu'Élise demeure avec Nicolas</x:v>
      </x:c>
      <x:c r="G54" s="40" t="str">
        <x:v>Axe présence — inventaire complet</x:v>
      </x:c>
      <x:c r="H54" s="40" t="str">
        <x:v>explicitement listée dans l'axe</x:v>
      </x:c>
      <x:c r="I54" s="40" t="str"/>
      <x:c r="J54" s="40" t="str">
        <x:v>contexte comparatif transversal</x:v>
      </x:c>
      <x:c r="K54" s="40" t="str">
        <x:v>Référence interne identifiable</x:v>
      </x:c>
    </x:row>
    <x:row r="55">
      <x:c r="A55" s="42" t="n">
        <x:v>54</x:v>
      </x:c>
      <x:c r="B55" s="40" t="str">
        <x:v>Event id=235</x:v>
      </x:c>
      <x:c r="C55" s="40" t="str"/>
      <x:c r="D55" s="40" t="str">
        <x:v>2013-05-17</x:v>
      </x:c>
      <x:c r="E55" s="40" t="str">
        <x:v>Événement photographique / photographie horodatée</x:v>
      </x:c>
      <x:c r="F55" s="40" t="str">
        <x:v>Sortie avec Alexia et Sandrine</x:v>
      </x:c>
      <x:c r="G55" s="40" t="str">
        <x:v>Axe présence — inventaire complet</x:v>
      </x:c>
      <x:c r="H55" s="40" t="str">
        <x:v>explicitement listée dans l'axe</x:v>
      </x:c>
      <x:c r="I55" s="40" t="str"/>
      <x:c r="J55" s="40" t="str">
        <x:v>contexte comparatif transversal</x:v>
      </x:c>
      <x:c r="K55" s="40" t="str">
        <x:v>Référence interne identifiable</x:v>
      </x:c>
    </x:row>
    <x:row r="56">
      <x:c r="A56" s="42" t="n">
        <x:v>55</x:v>
      </x:c>
      <x:c r="B56" s="40" t="str">
        <x:v>Event id=237</x:v>
      </x:c>
      <x:c r="C56" s="40" t="str"/>
      <x:c r="D56" s="40" t="str">
        <x:v>2013-05-18</x:v>
      </x:c>
      <x:c r="E56" s="40" t="str">
        <x:v>Événement photographique / photographie horodatée</x:v>
      </x:c>
      <x:c r="F56" s="40" t="str">
        <x:v>Sortie avec Alexia et ses amies</x:v>
      </x:c>
      <x:c r="G56" s="40" t="str">
        <x:v>Axe présence — inventaire complet</x:v>
      </x:c>
      <x:c r="H56" s="40" t="str">
        <x:v>explicitement listée dans l'axe</x:v>
      </x:c>
      <x:c r="I56" s="40" t="str"/>
      <x:c r="J56" s="40" t="str">
        <x:v>contexte comparatif transversal</x:v>
      </x:c>
      <x:c r="K56" s="40" t="str">
        <x:v>Référence interne identifiable</x:v>
      </x:c>
    </x:row>
    <x:row r="57">
      <x:c r="A57" s="42" t="n">
        <x:v>56</x:v>
      </x:c>
      <x:c r="B57" s="40" t="str">
        <x:v>Event id=239</x:v>
      </x:c>
      <x:c r="C57" s="40" t="str"/>
      <x:c r="D57" s="40" t="str">
        <x:v>2013-05-28</x:v>
      </x:c>
      <x:c r="E57" s="40" t="str">
        <x:v>Événement photographique / photographie horodatée</x:v>
      </x:c>
      <x:c r="F57" s="40" t="str">
        <x:v>Présence au match et début de saison</x:v>
      </x:c>
      <x:c r="G57" s="40" t="str">
        <x:v>Faits — récit/chronologie et inventaire; Pont — version procédurale/récit; Pont — tableau « Pièces nécessaires »; Axe présence — inventaire complet</x:v>
      </x:c>
      <x:c r="H57" s="40" t="str">
        <x:v>mentionnée dans le récit; explicitement listée; explicitement listée dans l'axe</x:v>
      </x:c>
      <x:c r="I57" s="40" t="str">
        <x:v>Soutien direct à la saison 2013; ne pas substituer les PDF 90–91 à ces événements.</x:v>
      </x:c>
      <x:c r="J57" s="40" t="str">
        <x:v>noyau §9</x:v>
      </x:c>
      <x:c r="K57" s="40" t="str">
        <x:v>Référence interne identifiable</x:v>
      </x:c>
    </x:row>
    <x:row r="58">
      <x:c r="A58" s="42" t="n">
        <x:v>57</x:v>
      </x:c>
      <x:c r="B58" s="40" t="str">
        <x:v>Event id=240</x:v>
      </x:c>
      <x:c r="C58" s="40" t="str"/>
      <x:c r="D58" s="40" t="str">
        <x:v>2013-05-31</x:v>
      </x:c>
      <x:c r="E58" s="40" t="str">
        <x:v>Événement photographique / photographie horodatée</x:v>
      </x:c>
      <x:c r="F58" s="40" t="str">
        <x:v>Sortie avec Alexia et ses amies</x:v>
      </x:c>
      <x:c r="G58" s="40" t="str">
        <x:v>Axe présence — inventaire complet</x:v>
      </x:c>
      <x:c r="H58" s="40" t="str">
        <x:v>explicitement listée dans l'axe</x:v>
      </x:c>
      <x:c r="I58" s="40" t="str"/>
      <x:c r="J58" s="40" t="str">
        <x:v>contexte comparatif transversal</x:v>
      </x:c>
      <x:c r="K58" s="40" t="str">
        <x:v>Référence interne identifiable</x:v>
      </x:c>
    </x:row>
    <x:row r="59">
      <x:c r="A59" s="42" t="n">
        <x:v>58</x:v>
      </x:c>
      <x:c r="B59" s="40" t="str">
        <x:v>Event id=241</x:v>
      </x:c>
      <x:c r="C59" s="40" t="str"/>
      <x:c r="D59" s="40" t="str">
        <x:v>2013-06-09</x:v>
      </x:c>
      <x:c r="E59" s="40" t="str">
        <x:v>Événement photographique / photographie horodatée</x:v>
      </x:c>
      <x:c r="F59" s="40" t="str">
        <x:v>Présence avec Alexia; soins médicaux allégués dans l'argumentaire</x:v>
      </x:c>
      <x:c r="G59" s="40" t="str">
        <x:v>Faits — récit/chronologie et inventaire</x:v>
      </x:c>
      <x:c r="H59" s="40" t="str">
        <x:v>mentionnée dans le récit; explicitement listée</x:v>
      </x:c>
      <x:c r="I59" s="40" t="str"/>
      <x:c r="J59" s="40" t="str">
        <x:v>noyau §9</x:v>
      </x:c>
      <x:c r="K59" s="40" t="str">
        <x:v>Référence interne identifiable</x:v>
      </x:c>
    </x:row>
    <x:row r="60">
      <x:c r="A60" s="42" t="n">
        <x:v>59</x:v>
      </x:c>
      <x:c r="B60" s="40" t="str">
        <x:v>Event id=242</x:v>
      </x:c>
      <x:c r="C60" s="40" t="str"/>
      <x:c r="D60" s="40" t="str">
        <x:v>2013-06-16</x:v>
      </x:c>
      <x:c r="E60" s="40" t="str">
        <x:v>Événement photographique / photographie horodatée</x:v>
      </x:c>
      <x:c r="F60" s="40" t="str">
        <x:v>Voyage avec parents et fratrie, sans les enfants</x:v>
      </x:c>
      <x:c r="G60" s="40" t="str">
        <x:v>Faits — récit/chronologie et inventaire; Pont — version procédurale/récit; Pont — tableau « Pièces nécessaires »</x:v>
      </x:c>
      <x:c r="H60" s="40" t="str">
        <x:v>mentionnée dans le récit; explicitement listée</x:v>
      </x:c>
      <x:c r="I60" s="40" t="str"/>
      <x:c r="J60" s="40" t="str">
        <x:v>noyau §9</x:v>
      </x:c>
      <x:c r="K60" s="40" t="str">
        <x:v>Référence interne identifiable</x:v>
      </x:c>
    </x:row>
    <x:row r="61">
      <x:c r="A61" s="42" t="n">
        <x:v>60</x:v>
      </x:c>
      <x:c r="B61" s="40" t="str">
        <x:v>Event id=243</x:v>
      </x:c>
      <x:c r="C61" s="40" t="str"/>
      <x:c r="D61" s="40" t="str">
        <x:v>2013-06-17</x:v>
      </x:c>
      <x:c r="E61" s="40" t="str">
        <x:v>Événement photographique / photographie horodatée</x:v>
      </x:c>
      <x:c r="F61" s="40" t="str">
        <x:v>Voyage avec parents et fratrie, sans les enfants</x:v>
      </x:c>
      <x:c r="G61" s="40" t="str">
        <x:v>Faits — récit/chronologie et inventaire; Pont — version procédurale/récit; Pont — tableau « Pièces nécessaires »</x:v>
      </x:c>
      <x:c r="H61" s="40" t="str">
        <x:v>mentionnée dans le récit; explicitement listée</x:v>
      </x:c>
      <x:c r="I61" s="40" t="str"/>
      <x:c r="J61" s="40" t="str">
        <x:v>noyau §9</x:v>
      </x:c>
      <x:c r="K61" s="40" t="str">
        <x:v>Référence interne identifiable</x:v>
      </x:c>
    </x:row>
    <x:row r="62">
      <x:c r="A62" s="42" t="n">
        <x:v>61</x:v>
      </x:c>
      <x:c r="B62" s="40" t="str">
        <x:v>Event id=244</x:v>
      </x:c>
      <x:c r="C62" s="40" t="str">
        <x:v>P-247</x:v>
      </x:c>
      <x:c r="D62" s="40" t="str">
        <x:v>2013-07-01</x:v>
      </x:c>
      <x:c r="E62" s="40" t="str">
        <x:v>Événement photographique / photographie horodatée</x:v>
      </x:c>
      <x:c r="F62" s="40" t="str">
        <x:v>Sortie familiale complète</x:v>
      </x:c>
      <x:c r="G62" s="40" t="str">
        <x:v>Faits — récit/chronologie et inventaire; Pont — version procédurale/récit; Pont — tableau « Pièces nécessaires »; Axe présence — inventaire complet; Relation/Synthèse</x:v>
      </x:c>
      <x:c r="H62" s="40" t="str">
        <x:v>mentionnée dans le récit; explicitement listée; explicitement listée dans l'axe</x:v>
      </x:c>
      <x:c r="I62" s="40" t="str"/>
      <x:c r="J62" s="40" t="str">
        <x:v>noyau §9</x:v>
      </x:c>
      <x:c r="K62" s="40" t="str">
        <x:v>Référence interne identifiable</x:v>
      </x:c>
    </x:row>
    <x:row r="63">
      <x:c r="A63" s="42" t="n">
        <x:v>62</x:v>
      </x:c>
      <x:c r="B63" s="40" t="str">
        <x:v>Event id=245</x:v>
      </x:c>
      <x:c r="C63" s="40" t="str"/>
      <x:c r="D63" s="40" t="str">
        <x:v>non précisé dans les fichiers examinés</x:v>
      </x:c>
      <x:c r="E63" s="40" t="str">
        <x:v>Événement photographique / photographie horodatée</x:v>
      </x:c>
      <x:c r="F63" s="40" t="str">
        <x:v>Référence incluse dans l'inventaire global des faits, mais non décrite individuellement</x:v>
      </x:c>
      <x:c r="G63" s="40" t="str">
        <x:v>Faits — inventaire global « Pièces citées »</x:v>
      </x:c>
      <x:c r="H63" s="40" t="str">
        <x:v>explicitement listée seulement</x:v>
      </x:c>
      <x:c r="I63" s="40" t="str">
        <x:v>Identifiant présent dans un inventaire/requête DB, mais événement non décrit individuellement.</x:v>
      </x:c>
      <x:c r="J63" s="40" t="str">
        <x:v>noyau §9</x:v>
      </x:c>
      <x:c r="K63" s="40" t="str">
        <x:v>Référence interne identifiable</x:v>
      </x:c>
    </x:row>
    <x:row r="64">
      <x:c r="A64" s="42" t="n">
        <x:v>63</x:v>
      </x:c>
      <x:c r="B64" s="40" t="str">
        <x:v>Event id=246</x:v>
      </x:c>
      <x:c r="C64" s="40" t="str">
        <x:v>P-250</x:v>
      </x:c>
      <x:c r="D64" s="40" t="str">
        <x:v>2013-07-04</x:v>
      </x:c>
      <x:c r="E64" s="40" t="str">
        <x:v>Événement photographique / photographie horodatée</x:v>
      </x:c>
      <x:c r="F64" s="40" t="str">
        <x:v>Sortie familiale complète</x:v>
      </x:c>
      <x:c r="G64" s="40" t="str">
        <x:v>Faits — récit/chronologie et inventaire; Pont — version procédurale/récit; Pont — tableau « Pièces nécessaires »; Axe présence — inventaire complet; Relation/Synthèse</x:v>
      </x:c>
      <x:c r="H64" s="40" t="str">
        <x:v>mentionnée dans le récit; explicitement listée; explicitement listée dans l'axe</x:v>
      </x:c>
      <x:c r="I64" s="40" t="str"/>
      <x:c r="J64" s="40" t="str">
        <x:v>noyau §9</x:v>
      </x:c>
      <x:c r="K64" s="40" t="str">
        <x:v>Référence interne identifiable</x:v>
      </x:c>
    </x:row>
    <x:row r="65">
      <x:c r="A65" s="42" t="n">
        <x:v>64</x:v>
      </x:c>
      <x:c r="B65" s="40" t="str">
        <x:v>Event id=247</x:v>
      </x:c>
      <x:c r="C65" s="40" t="str"/>
      <x:c r="D65" s="40" t="str">
        <x:v>2013-07-08</x:v>
      </x:c>
      <x:c r="E65" s="40" t="str">
        <x:v>Événement photographique / photographie horodatée</x:v>
      </x:c>
      <x:c r="F65" s="40" t="str">
        <x:v>Présence avec Alexia, Nicolas et Élise</x:v>
      </x:c>
      <x:c r="G65" s="40" t="str">
        <x:v>Faits — récit/chronologie et inventaire</x:v>
      </x:c>
      <x:c r="H65" s="40" t="str">
        <x:v>mentionnée dans le récit; explicitement listée</x:v>
      </x:c>
      <x:c r="I65" s="40" t="str"/>
      <x:c r="J65" s="40" t="str">
        <x:v>noyau §9</x:v>
      </x:c>
      <x:c r="K65" s="40" t="str">
        <x:v>Référence interne identifiable</x:v>
      </x:c>
    </x:row>
    <x:row r="66">
      <x:c r="A66" s="42" t="n">
        <x:v>65</x:v>
      </x:c>
      <x:c r="B66" s="40" t="str">
        <x:v>Event id=248</x:v>
      </x:c>
      <x:c r="C66" s="40" t="str"/>
      <x:c r="D66" s="40" t="str">
        <x:v>2013-07-08</x:v>
      </x:c>
      <x:c r="E66" s="40" t="str">
        <x:v>Événement photographique / photographie horodatée</x:v>
      </x:c>
      <x:c r="F66" s="40" t="str">
        <x:v>Deuxième événement le même jour avec Alexia, Nicolas et Élise</x:v>
      </x:c>
      <x:c r="G66" s="40" t="str">
        <x:v>Faits — récit/chronologie et inventaire</x:v>
      </x:c>
      <x:c r="H66" s="40" t="str">
        <x:v>mentionnée dans le récit; explicitement listée</x:v>
      </x:c>
      <x:c r="I66" s="40" t="str"/>
      <x:c r="J66" s="40" t="str">
        <x:v>noyau §9</x:v>
      </x:c>
      <x:c r="K66" s="40" t="str">
        <x:v>Référence interne identifiable</x:v>
      </x:c>
    </x:row>
    <x:row r="67">
      <x:c r="A67" s="42" t="n">
        <x:v>66</x:v>
      </x:c>
      <x:c r="B67" s="40" t="str">
        <x:v>Event id=249</x:v>
      </x:c>
      <x:c r="C67" s="40" t="str"/>
      <x:c r="D67" s="40" t="str">
        <x:v>2013-07-09</x:v>
      </x:c>
      <x:c r="E67" s="40" t="str">
        <x:v>Événement photographique / photographie horodatée</x:v>
      </x:c>
      <x:c r="F67" s="40" t="str">
        <x:v>Présence avec Alexia dans le réseau paternel</x:v>
      </x:c>
      <x:c r="G67" s="40" t="str">
        <x:v>Faits — récit/chronologie et inventaire; Axe présence — inventaire complet</x:v>
      </x:c>
      <x:c r="H67" s="40" t="str">
        <x:v>mentionnée dans le récit; explicitement listée; explicitement listée dans l'axe</x:v>
      </x:c>
      <x:c r="I67" s="40" t="str"/>
      <x:c r="J67" s="40" t="str">
        <x:v>noyau §9</x:v>
      </x:c>
      <x:c r="K67" s="40" t="str">
        <x:v>Référence interne identifiable</x:v>
      </x:c>
    </x:row>
    <x:row r="68">
      <x:c r="A68" s="42" t="n">
        <x:v>67</x:v>
      </x:c>
      <x:c r="B68" s="40" t="str">
        <x:v>Event id=250</x:v>
      </x:c>
      <x:c r="C68" s="40" t="str"/>
      <x:c r="D68" s="40" t="str">
        <x:v>non précisé dans les fichiers examinés</x:v>
      </x:c>
      <x:c r="E68" s="40" t="str">
        <x:v>Événement photographique / photographie horodatée</x:v>
      </x:c>
      <x:c r="F68" s="40" t="str">
        <x:v>Référence incluse dans l'inventaire global des faits, mais non décrite individuellement</x:v>
      </x:c>
      <x:c r="G68" s="40" t="str">
        <x:v>Faits — inventaire global « Pièces citées »</x:v>
      </x:c>
      <x:c r="H68" s="40" t="str">
        <x:v>explicitement listée seulement</x:v>
      </x:c>
      <x:c r="I68" s="40" t="str">
        <x:v>Identifiant présent dans un inventaire/requête DB, mais événement non décrit individuellement.</x:v>
      </x:c>
      <x:c r="J68" s="40" t="str">
        <x:v>noyau §9</x:v>
      </x:c>
      <x:c r="K68" s="40" t="str">
        <x:v>Référence interne identifiable</x:v>
      </x:c>
    </x:row>
    <x:row r="69">
      <x:c r="A69" s="42" t="n">
        <x:v>68</x:v>
      </x:c>
      <x:c r="B69" s="40" t="str">
        <x:v>Event id=251</x:v>
      </x:c>
      <x:c r="C69" s="40" t="str"/>
      <x:c r="D69" s="40" t="str">
        <x:v>non précisé dans les fichiers examinés</x:v>
      </x:c>
      <x:c r="E69" s="40" t="str">
        <x:v>Événement photographique / photographie horodatée</x:v>
      </x:c>
      <x:c r="F69" s="40" t="str">
        <x:v>Référence incluse dans l'inventaire global des faits, mais non décrite individuellement</x:v>
      </x:c>
      <x:c r="G69" s="40" t="str">
        <x:v>Faits — inventaire global « Pièces citées »</x:v>
      </x:c>
      <x:c r="H69" s="40" t="str">
        <x:v>explicitement listée seulement</x:v>
      </x:c>
      <x:c r="I69" s="40" t="str">
        <x:v>Identifiant présent dans un inventaire/requête DB, mais événement non décrit individuellement.</x:v>
      </x:c>
      <x:c r="J69" s="40" t="str">
        <x:v>noyau §9</x:v>
      </x:c>
      <x:c r="K69" s="40" t="str">
        <x:v>Référence interne identifiable</x:v>
      </x:c>
    </x:row>
    <x:row r="70">
      <x:c r="A70" s="42" t="n">
        <x:v>69</x:v>
      </x:c>
      <x:c r="B70" s="40" t="str">
        <x:v>Event id=252</x:v>
      </x:c>
      <x:c r="C70" s="40" t="str"/>
      <x:c r="D70" s="40" t="str">
        <x:v>2013-07-12</x:v>
      </x:c>
      <x:c r="E70" s="40" t="str">
        <x:v>Événement photographique / photographie horodatée</x:v>
      </x:c>
      <x:c r="F70" s="40" t="str">
        <x:v>Présence avec Alexia et Nicolas</x:v>
      </x:c>
      <x:c r="G70" s="40" t="str">
        <x:v>Faits — récit/chronologie et inventaire</x:v>
      </x:c>
      <x:c r="H70" s="40" t="str">
        <x:v>mentionnée dans le récit; explicitement listée</x:v>
      </x:c>
      <x:c r="I70" s="40" t="str"/>
      <x:c r="J70" s="40" t="str">
        <x:v>noyau §9</x:v>
      </x:c>
      <x:c r="K70" s="40" t="str">
        <x:v>Référence interne identifiable</x:v>
      </x:c>
    </x:row>
    <x:row r="71">
      <x:c r="A71" s="42" t="n">
        <x:v>70</x:v>
      </x:c>
      <x:c r="B71" s="40" t="str">
        <x:v>Event id=253</x:v>
      </x:c>
      <x:c r="C71" s="40" t="str"/>
      <x:c r="D71" s="40" t="str">
        <x:v>2013-07-12</x:v>
      </x:c>
      <x:c r="E71" s="40" t="str">
        <x:v>Événement photographique / photographie horodatée</x:v>
      </x:c>
      <x:c r="F71" s="40" t="str">
        <x:v>Deuxième événement le même jour avec Alexia et Nicolas</x:v>
      </x:c>
      <x:c r="G71" s="40" t="str">
        <x:v>Faits — récit/chronologie et inventaire</x:v>
      </x:c>
      <x:c r="H71" s="40" t="str">
        <x:v>mentionnée dans le récit; explicitement listée</x:v>
      </x:c>
      <x:c r="I71" s="40" t="str"/>
      <x:c r="J71" s="40" t="str">
        <x:v>noyau §9</x:v>
      </x:c>
      <x:c r="K71" s="40" t="str">
        <x:v>Référence interne identifiable</x:v>
      </x:c>
    </x:row>
    <x:row r="72">
      <x:c r="A72" s="42" t="n">
        <x:v>71</x:v>
      </x:c>
      <x:c r="B72" s="40" t="str">
        <x:v>Event id=254</x:v>
      </x:c>
      <x:c r="C72" s="40" t="str">
        <x:v>P-259</x:v>
      </x:c>
      <x:c r="D72" s="40" t="str">
        <x:v>2013-07-13</x:v>
      </x:c>
      <x:c r="E72" s="40" t="str">
        <x:v>Événement photographique / photographie horodatée</x:v>
      </x:c>
      <x:c r="F72" s="40" t="str">
        <x:v>Sortie avec Alexia et les grands-parents paternels</x:v>
      </x:c>
      <x:c r="G72" s="40" t="str">
        <x:v>Faits — récit/chronologie et inventaire; Pont — tableau « Pièces nécessaires »; Axe présence — inventaire complet</x:v>
      </x:c>
      <x:c r="H72" s="40" t="str">
        <x:v>mentionnée dans le récit; explicitement listée; explicitement listée dans l'axe</x:v>
      </x:c>
      <x:c r="I72" s="40" t="str"/>
      <x:c r="J72" s="40" t="str">
        <x:v>noyau §9</x:v>
      </x:c>
      <x:c r="K72" s="40" t="str">
        <x:v>Référence interne identifiable</x:v>
      </x:c>
    </x:row>
    <x:row r="73">
      <x:c r="A73" s="42" t="n">
        <x:v>72</x:v>
      </x:c>
      <x:c r="B73" s="40" t="str">
        <x:v>Event id=255</x:v>
      </x:c>
      <x:c r="C73" s="40" t="str"/>
      <x:c r="D73" s="40" t="str">
        <x:v>2013-07-14</x:v>
      </x:c>
      <x:c r="E73" s="40" t="str">
        <x:v>Événement photographique / photographie horodatée</x:v>
      </x:c>
      <x:c r="F73" s="40" t="str">
        <x:v>Sortie avec les deux enfants et Élise</x:v>
      </x:c>
      <x:c r="G73" s="40" t="str">
        <x:v>Faits — récit/chronologie et inventaire; Pont — version procédurale/récit; Pont — tableau « Pièces nécessaires »; Axe présence — inventaire complet</x:v>
      </x:c>
      <x:c r="H73" s="40" t="str">
        <x:v>mentionnée dans le récit; explicitement listée; explicitement listée dans l'axe</x:v>
      </x:c>
      <x:c r="I73" s="40" t="str">
        <x:v>L'axe signale une reclassification de catégorie; la pièce demeure dans l'union.</x:v>
      </x:c>
      <x:c r="J73" s="40" t="str">
        <x:v>noyau §9</x:v>
      </x:c>
      <x:c r="K73" s="40" t="str">
        <x:v>Référence interne identifiable</x:v>
      </x:c>
    </x:row>
    <x:row r="74">
      <x:c r="A74" s="42" t="n">
        <x:v>73</x:v>
      </x:c>
      <x:c r="B74" s="40" t="str">
        <x:v>Event id=256</x:v>
      </x:c>
      <x:c r="C74" s="40" t="str"/>
      <x:c r="D74" s="40" t="str">
        <x:v>2013-07-14</x:v>
      </x:c>
      <x:c r="E74" s="40" t="str">
        <x:v>Événement photographique / photographie horodatée</x:v>
      </x:c>
      <x:c r="F74" s="40" t="str">
        <x:v>Deuxième événement de la sortie avec Élise et les enfants</x:v>
      </x:c>
      <x:c r="G74" s="40" t="str">
        <x:v>Faits — récit/chronologie et inventaire; Pont — version procédurale/récit; Pont — tableau « Pièces nécessaires »</x:v>
      </x:c>
      <x:c r="H74" s="40" t="str">
        <x:v>mentionnée dans le récit; explicitement listée</x:v>
      </x:c>
      <x:c r="I74" s="40" t="str"/>
      <x:c r="J74" s="40" t="str">
        <x:v>noyau §9</x:v>
      </x:c>
      <x:c r="K74" s="40" t="str">
        <x:v>Référence interne identifiable</x:v>
      </x:c>
    </x:row>
    <x:row r="75">
      <x:c r="A75" s="42" t="n">
        <x:v>74</x:v>
      </x:c>
      <x:c r="B75" s="40" t="str">
        <x:v>Event id=257</x:v>
      </x:c>
      <x:c r="C75" s="40" t="str"/>
      <x:c r="D75" s="40" t="str">
        <x:v>2013-08-11 à 2013-08-16</x:v>
      </x:c>
      <x:c r="E75" s="40" t="str">
        <x:v>Événement photographique / photographie horodatée</x:v>
      </x:c>
      <x:c r="F75" s="40" t="str">
        <x:v>Voyage avec Alexia et Nicolas; événement individuel non détaillé</x:v>
      </x:c>
      <x:c r="G75" s="40" t="str">
        <x:v>Faits — récit/chronologie et inventaire; Pont — version procédurale/récit; Pont — tableau « Pièces nécessaires »; Relation/Synthèse</x:v>
      </x:c>
      <x:c r="H75" s="40" t="str">
        <x:v>mentionnée dans le récit; explicitement listée</x:v>
      </x:c>
      <x:c r="I75" s="40" t="str">
        <x:v>Divergence avec l'argumentaire sur les dates (10–17 vs 11–16 août) et sur la présence de la demanderesse.</x:v>
      </x:c>
      <x:c r="J75" s="40" t="str">
        <x:v>noyau §9</x:v>
      </x:c>
      <x:c r="K75" s="40" t="str">
        <x:v>Référence interne identifiable</x:v>
      </x:c>
    </x:row>
    <x:row r="76">
      <x:c r="A76" s="42" t="n">
        <x:v>75</x:v>
      </x:c>
      <x:c r="B76" s="40" t="str">
        <x:v>Event id=258</x:v>
      </x:c>
      <x:c r="C76" s="40" t="str"/>
      <x:c r="D76" s="40" t="str">
        <x:v>2013-08-11 à 2013-08-16</x:v>
      </x:c>
      <x:c r="E76" s="40" t="str">
        <x:v>Événement photographique / photographie horodatée</x:v>
      </x:c>
      <x:c r="F76" s="40" t="str">
        <x:v>Voyage avec Alexia et Nicolas; événement individuel non détaillé</x:v>
      </x:c>
      <x:c r="G76" s="40" t="str">
        <x:v>Faits — récit/chronologie et inventaire; Pont — version procédurale/récit; Pont — tableau « Pièces nécessaires »; Relation/Synthèse</x:v>
      </x:c>
      <x:c r="H76" s="40" t="str">
        <x:v>mentionnée dans le récit; explicitement listée</x:v>
      </x:c>
      <x:c r="I76" s="40" t="str">
        <x:v>Divergence avec l'argumentaire sur les dates (10–17 vs 11–16 août) et sur la présence de la demanderesse.</x:v>
      </x:c>
      <x:c r="J76" s="40" t="str">
        <x:v>noyau §9</x:v>
      </x:c>
      <x:c r="K76" s="40" t="str">
        <x:v>Référence interne identifiable</x:v>
      </x:c>
    </x:row>
    <x:row r="77">
      <x:c r="A77" s="42" t="n">
        <x:v>76</x:v>
      </x:c>
      <x:c r="B77" s="40" t="str">
        <x:v>Event id=259</x:v>
      </x:c>
      <x:c r="C77" s="40" t="str"/>
      <x:c r="D77" s="40" t="str">
        <x:v>2013-08-14</x:v>
      </x:c>
      <x:c r="E77" s="40" t="str">
        <x:v>Événement photographique / photographie horodatée</x:v>
      </x:c>
      <x:c r="F77" s="40" t="str">
        <x:v>Présence en voyage avec Nicolas</x:v>
      </x:c>
      <x:c r="G77" s="40" t="str">
        <x:v>Faits — récit/chronologie et inventaire; Pont — version procédurale/récit; Pont — tableau « Pièces nécessaires »; Axe présence — inventaire complet; Relation/Synthèse</x:v>
      </x:c>
      <x:c r="H77" s="40" t="str">
        <x:v>mentionnée dans le récit; explicitement listée; explicitement listée dans l'axe</x:v>
      </x:c>
      <x:c r="I77" s="40" t="str">
        <x:v>Divergence avec l'argumentaire sur les dates (10–17 vs 11–16 août) et sur la présence de la demanderesse.</x:v>
      </x:c>
      <x:c r="J77" s="40" t="str">
        <x:v>noyau §9</x:v>
      </x:c>
      <x:c r="K77" s="40" t="str">
        <x:v>Référence interne identifiable</x:v>
      </x:c>
    </x:row>
    <x:row r="78">
      <x:c r="A78" s="42" t="n">
        <x:v>77</x:v>
      </x:c>
      <x:c r="B78" s="40" t="str">
        <x:v>Event id=260</x:v>
      </x:c>
      <x:c r="C78" s="40" t="str"/>
      <x:c r="D78" s="40" t="str">
        <x:v>2013-08-11 à 2013-08-16</x:v>
      </x:c>
      <x:c r="E78" s="40" t="str">
        <x:v>Événement photographique / photographie horodatée</x:v>
      </x:c>
      <x:c r="F78" s="40" t="str">
        <x:v>Voyage avec Alexia et Nicolas; événement individuel non détaillé</x:v>
      </x:c>
      <x:c r="G78" s="40" t="str">
        <x:v>Faits — récit/chronologie et inventaire; Pont — version procédurale/récit; Pont — tableau « Pièces nécessaires »; Relation/Synthèse</x:v>
      </x:c>
      <x:c r="H78" s="40" t="str">
        <x:v>mentionnée dans le récit; explicitement listée</x:v>
      </x:c>
      <x:c r="I78" s="40" t="str">
        <x:v>Divergence avec l'argumentaire sur les dates (10–17 vs 11–16 août) et sur la présence de la demanderesse.</x:v>
      </x:c>
      <x:c r="J78" s="40" t="str">
        <x:v>noyau §9</x:v>
      </x:c>
      <x:c r="K78" s="40" t="str">
        <x:v>Référence interne identifiable</x:v>
      </x:c>
    </x:row>
    <x:row r="79">
      <x:c r="A79" s="42" t="n">
        <x:v>78</x:v>
      </x:c>
      <x:c r="B79" s="40" t="str">
        <x:v>Event id=261</x:v>
      </x:c>
      <x:c r="C79" s="40" t="str"/>
      <x:c r="D79" s="40" t="str">
        <x:v>2013-08-21</x:v>
      </x:c>
      <x:c r="E79" s="40" t="str">
        <x:v>Événement photographique / photographie horodatée</x:v>
      </x:c>
      <x:c r="F79" s="40" t="str">
        <x:v>Sortie autonome avec Alexia</x:v>
      </x:c>
      <x:c r="G79" s="40" t="str">
        <x:v>Faits — récit/chronologie et inventaire; Pont — tableau « Pièces nécessaires »; Axe présence — inventaire complet</x:v>
      </x:c>
      <x:c r="H79" s="40" t="str">
        <x:v>mentionnée dans le récit; explicitement listée; explicitement listée dans l'axe</x:v>
      </x:c>
      <x:c r="I79" s="40" t="str"/>
      <x:c r="J79" s="40" t="str">
        <x:v>noyau §9</x:v>
      </x:c>
      <x:c r="K79" s="40" t="str">
        <x:v>Référence interne identifiable</x:v>
      </x:c>
    </x:row>
    <x:row r="80">
      <x:c r="A80" s="42" t="n">
        <x:v>79</x:v>
      </x:c>
      <x:c r="B80" s="40" t="str">
        <x:v>Event id=262</x:v>
      </x:c>
      <x:c r="C80" s="40" t="str"/>
      <x:c r="D80" s="40" t="str">
        <x:v>2013-08-23</x:v>
      </x:c>
      <x:c r="E80" s="40" t="str">
        <x:v>Événement photographique / photographie horodatée</x:v>
      </x:c>
      <x:c r="F80" s="40" t="str">
        <x:v>Sortie familiale avec Élise et les enfants</x:v>
      </x:c>
      <x:c r="G80" s="40" t="str">
        <x:v>Faits — récit/chronologie et inventaire; Pont — version procédurale/récit; Pont — tableau « Pièces nécessaires »</x:v>
      </x:c>
      <x:c r="H80" s="40" t="str">
        <x:v>mentionnée dans le récit; explicitement listée</x:v>
      </x:c>
      <x:c r="I80" s="40" t="str"/>
      <x:c r="J80" s="40" t="str">
        <x:v>noyau §9</x:v>
      </x:c>
      <x:c r="K80" s="40" t="str">
        <x:v>Référence interne identifiable</x:v>
      </x:c>
    </x:row>
    <x:row r="81">
      <x:c r="A81" s="42" t="n">
        <x:v>80</x:v>
      </x:c>
      <x:c r="B81" s="40" t="str">
        <x:v>Event id=263</x:v>
      </x:c>
      <x:c r="C81" s="40" t="str"/>
      <x:c r="D81" s="40" t="str">
        <x:v>2013-08-24</x:v>
      </x:c>
      <x:c r="E81" s="40" t="str">
        <x:v>Événement photographique / photographie horodatée</x:v>
      </x:c>
      <x:c r="F81" s="40" t="str">
        <x:v>Présence à la fin de saison</x:v>
      </x:c>
      <x:c r="G81" s="40" t="str">
        <x:v>Faits — récit/chronologie et inventaire; Pont — version procédurale/récit; Pont — tableau « Pièces nécessaires »; Axe présence — inventaire complet</x:v>
      </x:c>
      <x:c r="H81" s="40" t="str">
        <x:v>mentionnée dans le récit; explicitement listée; explicitement listée dans l'axe</x:v>
      </x:c>
      <x:c r="I81" s="40" t="str">
        <x:v>Soutien direct à la saison 2013; ne pas substituer les PDF 90–91 à ces événements.</x:v>
      </x:c>
      <x:c r="J81" s="40" t="str">
        <x:v>noyau §9</x:v>
      </x:c>
      <x:c r="K81" s="40" t="str">
        <x:v>Référence interne identifiable</x:v>
      </x:c>
    </x:row>
    <x:row r="82">
      <x:c r="A82" s="42" t="n">
        <x:v>81</x:v>
      </x:c>
      <x:c r="B82" s="40" t="str">
        <x:v>Event id=264</x:v>
      </x:c>
      <x:c r="C82" s="40" t="str"/>
      <x:c r="D82" s="40" t="str">
        <x:v>non précisé dans les fichiers examinés</x:v>
      </x:c>
      <x:c r="E82" s="40" t="str">
        <x:v>Événement photographique / photographie horodatée</x:v>
      </x:c>
      <x:c r="F82" s="40" t="str">
        <x:v>Référence incluse dans l'inventaire global des faits, mais non décrite individuellement</x:v>
      </x:c>
      <x:c r="G82" s="40" t="str">
        <x:v>Faits — inventaire global « Pièces citées »</x:v>
      </x:c>
      <x:c r="H82" s="40" t="str">
        <x:v>explicitement listée seulement</x:v>
      </x:c>
      <x:c r="I82" s="40" t="str">
        <x:v>Identifiant présent dans un inventaire/requête DB, mais événement non décrit individuellement.</x:v>
      </x:c>
      <x:c r="J82" s="40" t="str">
        <x:v>noyau §9</x:v>
      </x:c>
      <x:c r="K82" s="40" t="str">
        <x:v>Référence interne identifiable</x:v>
      </x:c>
    </x:row>
    <x:row r="83">
      <x:c r="A83" s="42" t="n">
        <x:v>82</x:v>
      </x:c>
      <x:c r="B83" s="40" t="str">
        <x:v>Event id=265</x:v>
      </x:c>
      <x:c r="C83" s="40" t="str"/>
      <x:c r="D83" s="40" t="str">
        <x:v>2013-09-15</x:v>
      </x:c>
      <x:c r="E83" s="40" t="str">
        <x:v>Événement photographique / photographie horodatée</x:v>
      </x:c>
      <x:c r="F83" s="40" t="str">
        <x:v>Présence avec Alexia et Nicolas</x:v>
      </x:c>
      <x:c r="G83" s="40" t="str">
        <x:v>Faits — récit/chronologie et inventaire</x:v>
      </x:c>
      <x:c r="H83" s="40" t="str">
        <x:v>mentionnée dans le récit; explicitement listée</x:v>
      </x:c>
      <x:c r="I83" s="40" t="str"/>
      <x:c r="J83" s="40" t="str">
        <x:v>noyau §9</x:v>
      </x:c>
      <x:c r="K83" s="40" t="str">
        <x:v>Référence interne identifiable</x:v>
      </x:c>
    </x:row>
    <x:row r="84">
      <x:c r="A84" s="42" t="n">
        <x:v>83</x:v>
      </x:c>
      <x:c r="B84" s="40" t="str">
        <x:v>Event id=266</x:v>
      </x:c>
      <x:c r="C84" s="40" t="str"/>
      <x:c r="D84" s="40" t="str">
        <x:v>2013-09-28</x:v>
      </x:c>
      <x:c r="E84" s="40" t="str">
        <x:v>Événement photographique / photographie horodatée</x:v>
      </x:c>
      <x:c r="F84" s="40" t="str">
        <x:v>Course avec Nicolas</x:v>
      </x:c>
      <x:c r="G84" s="40" t="str">
        <x:v>Faits — inventaire global « Pièces citées »; Axe présence — inventaire complet</x:v>
      </x:c>
      <x:c r="H84" s="40" t="str">
        <x:v>explicitement listée seulement; explicitement listée dans l'axe</x:v>
      </x:c>
      <x:c r="I84" s="40" t="str"/>
      <x:c r="J84" s="40" t="str">
        <x:v>noyau §9</x:v>
      </x:c>
      <x:c r="K84" s="40" t="str">
        <x:v>Référence interne identifiable</x:v>
      </x:c>
    </x:row>
    <x:row r="85">
      <x:c r="A85" s="42" t="n">
        <x:v>84</x:v>
      </x:c>
      <x:c r="B85" s="40" t="str">
        <x:v>Event id=267</x:v>
      </x:c>
      <x:c r="C85" s="40" t="str">
        <x:v>P-289</x:v>
      </x:c>
      <x:c r="D85" s="40" t="str">
        <x:v>2013-09-29</x:v>
      </x:c>
      <x:c r="E85" s="40" t="str">
        <x:v>Événement photographique / photographie horodatée</x:v>
      </x:c>
      <x:c r="F85" s="40" t="str">
        <x:v>Sortie familiale complète</x:v>
      </x:c>
      <x:c r="G85" s="40" t="str">
        <x:v>Faits — récit/chronologie et inventaire; Pont — version procédurale/récit; Pont — tableau « Pièces nécessaires »; Relation/Synthèse</x:v>
      </x:c>
      <x:c r="H85" s="40" t="str">
        <x:v>mentionnée dans le récit; explicitement listée</x:v>
      </x:c>
      <x:c r="I85" s="40" t="str"/>
      <x:c r="J85" s="40" t="str">
        <x:v>noyau §9</x:v>
      </x:c>
      <x:c r="K85" s="40" t="str">
        <x:v>Référence interne identifiable</x:v>
      </x:c>
    </x:row>
    <x:row r="86">
      <x:c r="A86" s="42" t="n">
        <x:v>85</x:v>
      </x:c>
      <x:c r="B86" s="40" t="str">
        <x:v>Event id=268</x:v>
      </x:c>
      <x:c r="C86" s="40" t="str"/>
      <x:c r="D86" s="40" t="str">
        <x:v>2013-10-06</x:v>
      </x:c>
      <x:c r="E86" s="40" t="str">
        <x:v>Événement photographique / photographie horodatée</x:v>
      </x:c>
      <x:c r="F86" s="40" t="str">
        <x:v>Célébration familiale</x:v>
      </x:c>
      <x:c r="G86" s="40" t="str">
        <x:v>Axe présence — inventaire complet</x:v>
      </x:c>
      <x:c r="H86" s="40" t="str">
        <x:v>explicitement listée dans l'axe</x:v>
      </x:c>
      <x:c r="I86" s="40" t="str"/>
      <x:c r="J86" s="40" t="str">
        <x:v>contexte comparatif transversal</x:v>
      </x:c>
      <x:c r="K86" s="40" t="str">
        <x:v>Référence interne identifiable</x:v>
      </x:c>
    </x:row>
    <x:row r="87">
      <x:c r="A87" s="42" t="n">
        <x:v>86</x:v>
      </x:c>
      <x:c r="B87" s="40" t="str">
        <x:v>Event id=284</x:v>
      </x:c>
      <x:c r="C87" s="40" t="str"/>
      <x:c r="D87" s="40" t="str">
        <x:v>2014-05-25</x:v>
      </x:c>
      <x:c r="E87" s="40" t="str">
        <x:v>Événement photographique / photographie horodatée</x:v>
      </x:c>
      <x:c r="F87" s="40" t="str">
        <x:v>Présence avec les deux enfants</x:v>
      </x:c>
      <x:c r="G87" s="40" t="str">
        <x:v>Axe présence — inventaire complet</x:v>
      </x:c>
      <x:c r="H87" s="40" t="str">
        <x:v>explicitement listée dans l'axe</x:v>
      </x:c>
      <x:c r="I87" s="40" t="str"/>
      <x:c r="J87" s="40" t="str">
        <x:v>contexte comparatif transversal</x:v>
      </x:c>
      <x:c r="K87" s="40" t="str">
        <x:v>Référence interne identifiable</x:v>
      </x:c>
    </x:row>
    <x:row r="88">
      <x:c r="A88" s="42" t="n">
        <x:v>87</x:v>
      </x:c>
      <x:c r="B88" s="40" t="str">
        <x:v>Event id=288</x:v>
      </x:c>
      <x:c r="C88" s="40" t="str"/>
      <x:c r="D88" s="40" t="str">
        <x:v>2014-08-09</x:v>
      </x:c>
      <x:c r="E88" s="40" t="str">
        <x:v>Événement photographique / photographie horodatée</x:v>
      </x:c>
      <x:c r="F88" s="40" t="str">
        <x:v>Intégration des enfants à la famille paternelle</x:v>
      </x:c>
      <x:c r="G88" s="40" t="str">
        <x:v>Axe présence — inventaire complet</x:v>
      </x:c>
      <x:c r="H88" s="40" t="str">
        <x:v>explicitement listée dans l'axe</x:v>
      </x:c>
      <x:c r="I88" s="40" t="str"/>
      <x:c r="J88" s="40" t="str">
        <x:v>contexte comparatif transversal</x:v>
      </x:c>
      <x:c r="K88" s="40" t="str">
        <x:v>Référence interne identifiable</x:v>
      </x:c>
    </x:row>
    <x:row r="89">
      <x:c r="A89" s="42" t="n">
        <x:v>88</x:v>
      </x:c>
      <x:c r="B89" s="40" t="str">
        <x:v>Event id=291</x:v>
      </x:c>
      <x:c r="C89" s="40" t="str"/>
      <x:c r="D89" s="40" t="str">
        <x:v>2014-09-27</x:v>
      </x:c>
      <x:c r="E89" s="40" t="str">
        <x:v>Événement photographique / photographie horodatée</x:v>
      </x:c>
      <x:c r="F89" s="40" t="str">
        <x:v>Dîner familial avec les deux enfants</x:v>
      </x:c>
      <x:c r="G89" s="40" t="str">
        <x:v>Axe présence — inventaire complet</x:v>
      </x:c>
      <x:c r="H89" s="40" t="str">
        <x:v>explicitement listée dans l'axe</x:v>
      </x:c>
      <x:c r="I89" s="40" t="str"/>
      <x:c r="J89" s="40" t="str">
        <x:v>contexte comparatif transversal</x:v>
      </x:c>
      <x:c r="K89" s="40" t="str">
        <x:v>Référence interne identifiable</x:v>
      </x:c>
    </x:row>
    <x:row r="90">
      <x:c r="A90" s="42" t="n">
        <x:v>89</x:v>
      </x:c>
      <x:c r="B90" s="40" t="str">
        <x:v>Event id=304</x:v>
      </x:c>
      <x:c r="C90" s="40" t="str"/>
      <x:c r="D90" s="40" t="str">
        <x:v>2015-07-26</x:v>
      </x:c>
      <x:c r="E90" s="40" t="str">
        <x:v>Événement photographique / photographie horodatée</x:v>
      </x:c>
      <x:c r="F90" s="40" t="str">
        <x:v>Continuité hors période principale</x:v>
      </x:c>
      <x:c r="G90" s="40" t="str">
        <x:v>Axe présence — inventaire complet</x:v>
      </x:c>
      <x:c r="H90" s="40" t="str">
        <x:v>explicitement listée dans l'axe</x:v>
      </x:c>
      <x:c r="I90" s="40" t="str">
        <x:v>Hors période principale; conservée comme continuité contextuelle.</x:v>
      </x:c>
      <x:c r="J90" s="40" t="str">
        <x:v>contexte comparatif transversal</x:v>
      </x:c>
      <x:c r="K90" s="40" t="str">
        <x:v>Référence interne identifiable</x:v>
      </x:c>
    </x:row>
    <x:row r="91">
      <x:c r="A91" s="42" t="n">
        <x:v>90</x:v>
      </x:c>
      <x:c r="B91" s="40" t="str">
        <x:v>Event id=305</x:v>
      </x:c>
      <x:c r="C91" s="40" t="str"/>
      <x:c r="D91" s="40" t="str">
        <x:v>2018-01-25</x:v>
      </x:c>
      <x:c r="E91" s="40" t="str">
        <x:v>Événement photographique / photographie horodatée</x:v>
      </x:c>
      <x:c r="F91" s="40" t="str">
        <x:v>Continuité tardive avec Nicolas</x:v>
      </x:c>
      <x:c r="G91" s="40" t="str">
        <x:v>Axe présence — inventaire complet</x:v>
      </x:c>
      <x:c r="H91" s="40" t="str">
        <x:v>explicitement listée dans l'axe</x:v>
      </x:c>
      <x:c r="I91" s="40" t="str">
        <x:v>Hors période principale; conservée comme continuité contextuelle.</x:v>
      </x:c>
      <x:c r="J91" s="40" t="str">
        <x:v>contexte comparatif transversal</x:v>
      </x:c>
      <x:c r="K91" s="40" t="str">
        <x:v>Référence interne identifiable</x:v>
      </x:c>
    </x:row>
    <x:row r="92">
      <x:c r="A92" s="42" t="n">
        <x:v>91</x:v>
      </x:c>
      <x:c r="B92" s="40" t="str">
        <x:v>Event id=312</x:v>
      </x:c>
      <x:c r="C92" s="40" t="str">
        <x:v>P-262</x:v>
      </x:c>
      <x:c r="D92" s="40" t="str">
        <x:v>2013-07-14 à 2013-07-19</x:v>
      </x:c>
      <x:c r="E92" s="40" t="str">
        <x:v>Événement photographique / photographie horodatée</x:v>
      </x:c>
      <x:c r="F92" s="40" t="str">
        <x:v>Premier événement de planification</x:v>
      </x:c>
      <x:c r="G92" s="40" t="str">
        <x:v>Faits — récit/chronologie et inventaire; Pont — version procédurale/récit; Pont — tableau « Pièces nécessaires »; Relation/Synthèse</x:v>
      </x:c>
      <x:c r="H92" s="40" t="str">
        <x:v>mentionnée dans le récit; explicitement listée</x:v>
      </x:c>
      <x:c r="I92" s="40" t="str"/>
      <x:c r="J92" s="40" t="str">
        <x:v>noyau §9</x:v>
      </x:c>
      <x:c r="K92" s="40" t="str">
        <x:v>Référence interne identifiable</x:v>
      </x:c>
    </x:row>
    <x:row r="93">
      <x:c r="A93" s="42" t="n">
        <x:v>92</x:v>
      </x:c>
      <x:c r="B93" s="40" t="str">
        <x:v>Event id=313</x:v>
      </x:c>
      <x:c r="C93" s="40" t="str">
        <x:v>P-263</x:v>
      </x:c>
      <x:c r="D93" s="40" t="str">
        <x:v>2013-07-14 à 2013-07-19</x:v>
      </x:c>
      <x:c r="E93" s="40" t="str">
        <x:v>Événement photographique / photographie horodatée</x:v>
      </x:c>
      <x:c r="F93" s="40" t="str">
        <x:v>Deuxième événement de planification</x:v>
      </x:c>
      <x:c r="G93" s="40" t="str">
        <x:v>Faits — récit/chronologie et inventaire; Pont — version procédurale/récit; Pont — tableau « Pièces nécessaires »; Relation/Synthèse</x:v>
      </x:c>
      <x:c r="H93" s="40" t="str">
        <x:v>mentionnée dans le récit; explicitement listée</x:v>
      </x:c>
      <x:c r="I93" s="40" t="str"/>
      <x:c r="J93" s="40" t="str">
        <x:v>noyau §9</x:v>
      </x:c>
      <x:c r="K93" s="40" t="str">
        <x:v>Référence interne identifiable</x:v>
      </x:c>
    </x:row>
    <x:row r="94">
      <x:c r="A94" s="42" t="n">
        <x:v>93</x:v>
      </x:c>
      <x:c r="B94" s="40" t="str">
        <x:v>Event id=314</x:v>
      </x:c>
      <x:c r="C94" s="40" t="str">
        <x:v>P-264</x:v>
      </x:c>
      <x:c r="D94" s="40" t="str">
        <x:v>2013-07-14 à 2013-07-19</x:v>
      </x:c>
      <x:c r="E94" s="40" t="str">
        <x:v>Événement photographique / photographie horodatée</x:v>
      </x:c>
      <x:c r="F94" s="40" t="str">
        <x:v>Troisième événement de planification</x:v>
      </x:c>
      <x:c r="G94" s="40" t="str">
        <x:v>Faits — récit/chronologie et inventaire; Pont — version procédurale/récit; Pont — tableau « Pièces nécessaires »; Relation/Synthèse</x:v>
      </x:c>
      <x:c r="H94" s="40" t="str">
        <x:v>mentionnée dans le récit; explicitement listée</x:v>
      </x:c>
      <x:c r="I94" s="40" t="str"/>
      <x:c r="J94" s="40" t="str">
        <x:v>noyau §9</x:v>
      </x:c>
      <x:c r="K94" s="40" t="str">
        <x:v>Référence interne identifiable</x:v>
      </x:c>
    </x:row>
    <x:row r="95">
      <x:c r="A95" s="42" t="n">
        <x:v>94</x:v>
      </x:c>
      <x:c r="B95" s="40" t="str">
        <x:v>Event id=315</x:v>
      </x:c>
      <x:c r="C95" s="40" t="str">
        <x:v>P-265</x:v>
      </x:c>
      <x:c r="D95" s="40" t="str">
        <x:v>2013-07-14 à 2013-07-19</x:v>
      </x:c>
      <x:c r="E95" s="40" t="str">
        <x:v>Événement photographique / photographie horodatée</x:v>
      </x:c>
      <x:c r="F95" s="40" t="str">
        <x:v>Quatrième événement de planification</x:v>
      </x:c>
      <x:c r="G95" s="40" t="str">
        <x:v>Faits — récit/chronologie et inventaire; Pont — version procédurale/récit; Pont — tableau « Pièces nécessaires »; Relation/Synthèse</x:v>
      </x:c>
      <x:c r="H95" s="40" t="str">
        <x:v>mentionnée dans le récit; explicitement listée</x:v>
      </x:c>
      <x:c r="I95" s="40" t="str"/>
      <x:c r="J95" s="40" t="str">
        <x:v>noyau §9</x:v>
      </x:c>
      <x:c r="K95" s="40" t="str">
        <x:v>Référence interne identifiable</x:v>
      </x:c>
    </x:row>
    <x:row r="96">
      <x:c r="A96" s="42" t="n">
        <x:v>95</x:v>
      </x:c>
      <x:c r="B96" s="40" t="str">
        <x:v>Event id=316</x:v>
      </x:c>
      <x:c r="C96" s="40" t="str">
        <x:v>P-244</x:v>
      </x:c>
      <x:c r="D96" s="40" t="str">
        <x:v>2013-06-27</x:v>
      </x:c>
      <x:c r="E96" s="40" t="str">
        <x:v>Événement photographique / photographie horodatée</x:v>
      </x:c>
      <x:c r="F96" s="40" t="str">
        <x:v>Escalade avec Alexia</x:v>
      </x:c>
      <x:c r="G96" s="40" t="str">
        <x:v>Faits — récit/chronologie et inventaire; Pont — version procédurale/récit; Pont — tableau « Pièces nécessaires »; Axe présence — inventaire complet; Relation/Synthèse</x:v>
      </x:c>
      <x:c r="H96" s="40" t="str">
        <x:v>mentionnée dans le récit; explicitement listée; explicitement listée dans l'axe</x:v>
      </x:c>
      <x:c r="I96" s="40" t="str"/>
      <x:c r="J96" s="40" t="str">
        <x:v>noyau §9</x:v>
      </x:c>
      <x:c r="K96" s="40" t="str">
        <x:v>Référence interne identifiable</x:v>
      </x:c>
    </x:row>
    <x:row r="97">
      <x:c r="A97" s="42" t="n">
        <x:v>96</x:v>
      </x:c>
      <x:c r="B97" s="40" t="str">
        <x:v>Event id=317</x:v>
      </x:c>
      <x:c r="C97" s="40" t="str">
        <x:v>P-251</x:v>
      </x:c>
      <x:c r="D97" s="40" t="str">
        <x:v>2013-07-07</x:v>
      </x:c>
      <x:c r="E97" s="40" t="str">
        <x:v>Événement photographique / photographie horodatée</x:v>
      </x:c>
      <x:c r="F97" s="40" t="str">
        <x:v>Escalade avec Alexia</x:v>
      </x:c>
      <x:c r="G97" s="40" t="str">
        <x:v>Faits — récit/chronologie et inventaire; Pont — version procédurale/récit; Pont — tableau « Pièces nécessaires »; Axe présence — inventaire complet; Relation/Synthèse</x:v>
      </x:c>
      <x:c r="H97" s="40" t="str">
        <x:v>mentionnée dans le récit; explicitement listée; explicitement listée dans l'axe</x:v>
      </x:c>
      <x:c r="I97" s="40" t="str"/>
      <x:c r="J97" s="40" t="str">
        <x:v>noyau §9</x:v>
      </x:c>
      <x:c r="K97" s="40" t="str">
        <x:v>Référence interne identifiable</x:v>
      </x:c>
    </x:row>
    <x:row r="98">
      <x:c r="A98" s="42" t="n">
        <x:v>97</x:v>
      </x:c>
      <x:c r="B98" s="40" t="str">
        <x:v>Event id=318</x:v>
      </x:c>
      <x:c r="C98" s="40" t="str">
        <x:v>P-279</x:v>
      </x:c>
      <x:c r="D98" s="40" t="str">
        <x:v>2013-08-18</x:v>
      </x:c>
      <x:c r="E98" s="40" t="str">
        <x:v>Événement photographique / photographie horodatée</x:v>
      </x:c>
      <x:c r="F98" s="40" t="str">
        <x:v>Escalade avec Alexia</x:v>
      </x:c>
      <x:c r="G98" s="40" t="str">
        <x:v>Faits — récit/chronologie et inventaire; Pont — version procédurale/récit; Pont — tableau « Pièces nécessaires »; Axe présence — inventaire complet; Relation/Synthèse</x:v>
      </x:c>
      <x:c r="H98" s="40" t="str">
        <x:v>mentionnée dans le récit; explicitement listée; explicitement listée dans l'axe</x:v>
      </x:c>
      <x:c r="I98" s="40" t="str"/>
      <x:c r="J98" s="40" t="str">
        <x:v>noyau §9</x:v>
      </x:c>
      <x:c r="K98" s="40" t="str">
        <x:v>Référence interne identifiable</x:v>
      </x:c>
    </x:row>
    <x:row r="99">
      <x:c r="A99" s="42" t="n">
        <x:v>98</x:v>
      </x:c>
      <x:c r="B99" s="40" t="str">
        <x:v>Event id=319</x:v>
      </x:c>
      <x:c r="C99" s="40" t="str">
        <x:v>P-284</x:v>
      </x:c>
      <x:c r="D99" s="40" t="str">
        <x:v>2013-08-26</x:v>
      </x:c>
      <x:c r="E99" s="40" t="str">
        <x:v>Événement photographique / photographie horodatée</x:v>
      </x:c>
      <x:c r="F99" s="40" t="str">
        <x:v>Escalade avec Alexia</x:v>
      </x:c>
      <x:c r="G99" s="40" t="str">
        <x:v>Faits — récit/chronologie et inventaire; Pont — version procédurale/récit; Pont — tableau « Pièces nécessaires »; Axe présence — inventaire complet; Relation/Synthèse</x:v>
      </x:c>
      <x:c r="H99" s="40" t="str">
        <x:v>mentionnée dans le récit; explicitement listée; explicitement listée dans l'axe</x:v>
      </x:c>
      <x:c r="I99" s="40" t="str"/>
      <x:c r="J99" s="40" t="str">
        <x:v>noyau §9</x:v>
      </x:c>
      <x:c r="K99" s="40" t="str">
        <x:v>Référence interne identifiable</x:v>
      </x:c>
    </x:row>
    <x:row r="100">
      <x:c r="A100" s="42" t="n">
        <x:v>99</x:v>
      </x:c>
      <x:c r="B100" s="40" t="str">
        <x:v>Event id=320</x:v>
      </x:c>
      <x:c r="C100" s="40" t="str"/>
      <x:c r="D100" s="40" t="str">
        <x:v>2013-08-31</x:v>
      </x:c>
      <x:c r="E100" s="40" t="str">
        <x:v>Événement photographique / photographie horodatée</x:v>
      </x:c>
      <x:c r="F100" s="40" t="str">
        <x:v>Escalade avec Alexia</x:v>
      </x:c>
      <x:c r="G100" s="40" t="str">
        <x:v>Faits — récit/chronologie et inventaire; Pont — version procédurale/récit; Pont — tableau « Pièces nécessaires »; Axe présence — inventaire complet</x:v>
      </x:c>
      <x:c r="H100" s="40" t="str">
        <x:v>mentionnée dans le récit; explicitement listée; explicitement listée dans l'axe</x:v>
      </x:c>
      <x:c r="I100" s="40" t="str"/>
      <x:c r="J100" s="40" t="str">
        <x:v>noyau §9</x:v>
      </x:c>
      <x:c r="K100" s="40" t="str">
        <x:v>Référence interne identifiable</x:v>
      </x:c>
    </x:row>
    <x:row r="101">
      <x:c r="A101" s="42" t="n">
        <x:v>100</x:v>
      </x:c>
      <x:c r="B101" s="40" t="str">
        <x:v>Event id=321</x:v>
      </x:c>
      <x:c r="C101" s="40" t="str"/>
      <x:c r="D101" s="40" t="str">
        <x:v>2013-10-19</x:v>
      </x:c>
      <x:c r="E101" s="40" t="str">
        <x:v>Événement photographique / photographie horodatée</x:v>
      </x:c>
      <x:c r="F101" s="40" t="str">
        <x:v>Escalade avec Alexia</x:v>
      </x:c>
      <x:c r="G101" s="40" t="str">
        <x:v>Axe présence — inventaire complet</x:v>
      </x:c>
      <x:c r="H101" s="40" t="str">
        <x:v>explicitement listée dans l'axe</x:v>
      </x:c>
      <x:c r="I101" s="40" t="str"/>
      <x:c r="J101" s="40" t="str">
        <x:v>contexte comparatif transversal</x:v>
      </x:c>
      <x:c r="K101" s="40" t="str">
        <x:v>Référence interne identifiable</x:v>
      </x:c>
    </x:row>
    <x:row r="102">
      <x:c r="A102" s="42" t="n">
        <x:v>101</x:v>
      </x:c>
      <x:c r="B102" s="40" t="str">
        <x:v>Event id=322</x:v>
      </x:c>
      <x:c r="C102" s="40" t="str"/>
      <x:c r="D102" s="40" t="str">
        <x:v>2013-12-07</x:v>
      </x:c>
      <x:c r="E102" s="40" t="str">
        <x:v>Événement photographique / photographie horodatée</x:v>
      </x:c>
      <x:c r="F102" s="40" t="str">
        <x:v>Escalade avec Alexia</x:v>
      </x:c>
      <x:c r="G102" s="40" t="str">
        <x:v>Axe présence — inventaire complet</x:v>
      </x:c>
      <x:c r="H102" s="40" t="str">
        <x:v>explicitement listée dans l'axe</x:v>
      </x:c>
      <x:c r="I102" s="40" t="str"/>
      <x:c r="J102" s="40" t="str">
        <x:v>contexte comparatif transversal</x:v>
      </x:c>
      <x:c r="K102" s="40" t="str">
        <x:v>Référence interne identifiable</x:v>
      </x:c>
    </x:row>
    <x:row r="103">
      <x:c r="A103" s="42" t="n">
        <x:v>102</x:v>
      </x:c>
      <x:c r="B103" s="40" t="str">
        <x:v>Event id=323</x:v>
      </x:c>
      <x:c r="C103" s="40" t="str"/>
      <x:c r="D103" s="40" t="str">
        <x:v>2014-02-02</x:v>
      </x:c>
      <x:c r="E103" s="40" t="str">
        <x:v>Événement photographique / photographie horodatée</x:v>
      </x:c>
      <x:c r="F103" s="40" t="str">
        <x:v>Escalade avec Alexia</x:v>
      </x:c>
      <x:c r="G103" s="40" t="str">
        <x:v>Axe présence — inventaire complet</x:v>
      </x:c>
      <x:c r="H103" s="40" t="str">
        <x:v>explicitement listée dans l'axe</x:v>
      </x:c>
      <x:c r="I103" s="40" t="str"/>
      <x:c r="J103" s="40" t="str">
        <x:v>contexte comparatif transversal</x:v>
      </x:c>
      <x:c r="K103" s="40" t="str">
        <x:v>Référence interne identifiable</x:v>
      </x:c>
    </x:row>
    <x:row r="104">
      <x:c r="A104" s="42" t="n">
        <x:v>103</x:v>
      </x:c>
      <x:c r="B104" s="40" t="str">
        <x:v>Event id=324</x:v>
      </x:c>
      <x:c r="C104" s="40" t="str"/>
      <x:c r="D104" s="40" t="str">
        <x:v>2014-02-16</x:v>
      </x:c>
      <x:c r="E104" s="40" t="str">
        <x:v>Événement photographique / photographie horodatée</x:v>
      </x:c>
      <x:c r="F104" s="40" t="str">
        <x:v>Escalade avec Alexia</x:v>
      </x:c>
      <x:c r="G104" s="40" t="str">
        <x:v>Axe présence — inventaire complet</x:v>
      </x:c>
      <x:c r="H104" s="40" t="str">
        <x:v>explicitement listée dans l'axe</x:v>
      </x:c>
      <x:c r="I104" s="40" t="str"/>
      <x:c r="J104" s="40" t="str">
        <x:v>contexte comparatif transversal</x:v>
      </x:c>
      <x:c r="K104" s="40" t="str">
        <x:v>Référence interne identifiable</x:v>
      </x:c>
    </x:row>
    <x:row r="105">
      <x:c r="A105" s="42" t="n">
        <x:v>104</x:v>
      </x:c>
      <x:c r="B105" s="40" t="str">
        <x:v>Event id=325</x:v>
      </x:c>
      <x:c r="C105" s="40" t="str"/>
      <x:c r="D105" s="40" t="str">
        <x:v>2014-03-16</x:v>
      </x:c>
      <x:c r="E105" s="40" t="str">
        <x:v>Événement photographique / photographie horodatée</x:v>
      </x:c>
      <x:c r="F105" s="40" t="str">
        <x:v>Escalade avec Alexia</x:v>
      </x:c>
      <x:c r="G105" s="40" t="str">
        <x:v>Axe présence — inventaire complet</x:v>
      </x:c>
      <x:c r="H105" s="40" t="str">
        <x:v>explicitement listée dans l'axe</x:v>
      </x:c>
      <x:c r="I105" s="40" t="str"/>
      <x:c r="J105" s="40" t="str">
        <x:v>contexte comparatif transversal</x:v>
      </x:c>
      <x:c r="K105" s="40" t="str">
        <x:v>Référence interne identifiable</x:v>
      </x:c>
    </x:row>
    <x:row r="106">
      <x:c r="A106" s="42" t="n">
        <x:v>105</x:v>
      </x:c>
      <x:c r="B106" s="40" t="str">
        <x:v>Event id=326</x:v>
      </x:c>
      <x:c r="C106" s="40" t="str"/>
      <x:c r="D106" s="40" t="str">
        <x:v>2014-03-06</x:v>
      </x:c>
      <x:c r="E106" s="40" t="str">
        <x:v>Événement photographique / photographie horodatée</x:v>
      </x:c>
      <x:c r="F106" s="40" t="str">
        <x:v>Escalade avec Alexia</x:v>
      </x:c>
      <x:c r="G106" s="40" t="str">
        <x:v>Axe présence — inventaire complet</x:v>
      </x:c>
      <x:c r="H106" s="40" t="str">
        <x:v>explicitement listée dans l'axe</x:v>
      </x:c>
      <x:c r="I106" s="40" t="str"/>
      <x:c r="J106" s="40" t="str">
        <x:v>contexte comparatif transversal</x:v>
      </x:c>
      <x:c r="K106" s="40" t="str">
        <x:v>Référence interne identifiable</x:v>
      </x:c>
    </x:row>
    <x:row r="107">
      <x:c r="A107" s="42" t="n">
        <x:v>106</x:v>
      </x:c>
      <x:c r="B107" s="40" t="str">
        <x:v>Event id=327</x:v>
      </x:c>
      <x:c r="C107" s="40" t="str"/>
      <x:c r="D107" s="40" t="str">
        <x:v>2015-02-07</x:v>
      </x:c>
      <x:c r="E107" s="40" t="str">
        <x:v>Événement photographique / photographie horodatée</x:v>
      </x:c>
      <x:c r="F107" s="40" t="str">
        <x:v>Continuité avec Nicolas hors période principale</x:v>
      </x:c>
      <x:c r="G107" s="40" t="str">
        <x:v>Axe présence — inventaire complet</x:v>
      </x:c>
      <x:c r="H107" s="40" t="str">
        <x:v>explicitement listée dans l'axe</x:v>
      </x:c>
      <x:c r="I107" s="40" t="str">
        <x:v>Hors période principale; conservée comme continuité contextuelle.</x:v>
      </x:c>
      <x:c r="J107" s="40" t="str">
        <x:v>contexte comparatif transversal</x:v>
      </x:c>
      <x:c r="K107" s="40" t="str">
        <x:v>Référence interne identifiable</x:v>
      </x:c>
    </x:row>
    <x:row r="108">
      <x:c r="A108" s="42" t="n">
        <x:v>107</x:v>
      </x:c>
      <x:c r="B108" s="40" t="str">
        <x:v>Email id=1</x:v>
      </x:c>
      <x:c r="C108" s="40" t="str"/>
      <x:c r="D108" s="40" t="str">
        <x:v>2022-10-17</x:v>
      </x:c>
      <x:c r="E108" s="40" t="str">
        <x:v>Courriel d'un tiers — Allez Up</x:v>
      </x:c>
      <x:c r="F108" s="40" t="str">
        <x:v>Confirmation des transactions d'entrées enfants pour les dates d'escalade</x:v>
      </x:c>
      <x:c r="G108" s="40" t="str">
        <x:v>Faits — récit et inventaire; Pont — tableau « Pièces nécessaires »</x:v>
      </x:c>
      <x:c r="H108" s="40" t="str">
        <x:v>mentionnée dans le récit; explicitement listée</x:v>
      </x:c>
      <x:c r="I108" s="40" t="str">
        <x:v>Confirmation tierce postérieure (2022); utile en corroboration, avec preuve d'authenticité des transactions.</x:v>
      </x:c>
      <x:c r="J108" s="40" t="str">
        <x:v>noyau §9</x:v>
      </x:c>
      <x:c r="K108" s="40" t="str">
        <x:v>Référence interne identifiable</x:v>
      </x:c>
    </x:row>
    <x:row r="109">
      <x:c r="A109" s="42" t="n">
        <x:v>108</x:v>
      </x:c>
      <x:c r="B109" s="40" t="str">
        <x:v>Email id=32</x:v>
      </x:c>
      <x:c r="C109" s="40" t="str"/>
      <x:c r="D109" s="40" t="str">
        <x:v>2013-07-30</x:v>
      </x:c>
      <x:c r="E109" s="40" t="str">
        <x:v>Courriel familial</x:v>
      </x:c>
      <x:c r="F109" s="40" t="str">
        <x:v>Réponse liant la venue avec Nicolas à l'absence de soccer</x:v>
      </x:c>
      <x:c r="G109" s="40" t="str">
        <x:v>Faits — récit et inventaire; Pont — version procédurale/récit; Pont — tableau « Pièces nécessaires »</x:v>
      </x:c>
      <x:c r="H109" s="40" t="str">
        <x:v>mentionnée dans le récit; explicitement listée</x:v>
      </x:c>
      <x:c r="I109" s="40" t="str"/>
      <x:c r="J109" s="40" t="str">
        <x:v>noyau §9</x:v>
      </x:c>
      <x:c r="K109" s="40" t="str">
        <x:v>Référence interne identifiable</x:v>
      </x:c>
    </x:row>
    <x:row r="110">
      <x:c r="A110" s="42" t="n">
        <x:v>109</x:v>
      </x:c>
      <x:c r="B110" s="40" t="str">
        <x:v>Email id=33</x:v>
      </x:c>
      <x:c r="C110" s="40" t="str"/>
      <x:c r="D110" s="40" t="str">
        <x:v>2013-07-29</x:v>
      </x:c>
      <x:c r="E110" s="40" t="str">
        <x:v>Courriel familial</x:v>
      </x:c>
      <x:c r="F110" s="40" t="str">
        <x:v>Attente que le père passe avec Nicolas</x:v>
      </x:c>
      <x:c r="G110" s="40" t="str">
        <x:v>Faits — récit et inventaire; Pont — version procédurale/récit; Pont — tableau « Pièces nécessaires »</x:v>
      </x:c>
      <x:c r="H110" s="40" t="str">
        <x:v>mentionnée dans le récit; explicitement listée</x:v>
      </x:c>
      <x:c r="I110" s="40" t="str"/>
      <x:c r="J110" s="40" t="str">
        <x:v>noyau §9</x:v>
      </x:c>
      <x:c r="K110" s="40" t="str">
        <x:v>Référence interne identifiable</x:v>
      </x:c>
    </x:row>
    <x:row r="111">
      <x:c r="A111" s="42" t="n">
        <x:v>110</x:v>
      </x:c>
      <x:c r="B111" s="40" t="str">
        <x:v>Email id=34</x:v>
      </x:c>
      <x:c r="C111" s="40" t="str">
        <x:v>P-269</x:v>
      </x:c>
      <x:c r="D111" s="40" t="str">
        <x:v>2013-07-22</x:v>
      </x:c>
      <x:c r="E111" s="40" t="str">
        <x:v>Courriel avec Ève Brunet</x:v>
      </x:c>
      <x:c r="F111" s="40" t="str">
        <x:v>Confirmation du déroulement festif de la fête-surprise</x:v>
      </x:c>
      <x:c r="G111" s="40" t="str">
        <x:v>Faits — récit et inventaire; Relation/Synthèse</x:v>
      </x:c>
      <x:c r="H111" s="40" t="str">
        <x:v>mentionnée dans le récit; explicitement listée</x:v>
      </x:c>
      <x:c r="I111" s="40" t="str"/>
      <x:c r="J111" s="40" t="str">
        <x:v>noyau §9</x:v>
      </x:c>
      <x:c r="K111" s="40" t="str">
        <x:v>Référence interne identifiable</x:v>
      </x:c>
    </x:row>
    <x:row r="112">
      <x:c r="A112" s="42" t="n">
        <x:v>111</x:v>
      </x:c>
      <x:c r="B112" s="40" t="str">
        <x:v>Email id=35</x:v>
      </x:c>
      <x:c r="C112" s="40" t="str">
        <x:v>P-266</x:v>
      </x:c>
      <x:c r="D112" s="40" t="str">
        <x:v>2013-07-19</x:v>
      </x:c>
      <x:c r="E112" s="40" t="str">
        <x:v>Courriel privé avec Ève Brunet</x:v>
      </x:c>
      <x:c r="F112" s="40" t="str">
        <x:v>Présence quotidienne, soupers à la maison et absence nocturne temporaire</x:v>
      </x:c>
      <x:c r="G112" s="40" t="str">
        <x:v>Faits — récit et inventaire; Pont — version procédurale/récit; Pont — tableau « Pièces nécessaires »; Relation/Synthèse</x:v>
      </x:c>
      <x:c r="H112" s="40" t="str">
        <x:v>mentionnée dans le récit; explicitement listée</x:v>
      </x:c>
      <x:c r="I112" s="40" t="str">
        <x:v>Courriel privé du demandeur; authenticité, contexte et règle du ouï-dire à examiner.</x:v>
      </x:c>
      <x:c r="J112" s="40" t="str">
        <x:v>noyau §9</x:v>
      </x:c>
      <x:c r="K112" s="40" t="str">
        <x:v>Référence interne identifiable</x:v>
      </x:c>
    </x:row>
    <x:row r="113">
      <x:c r="A113" s="42" t="n">
        <x:v>112</x:v>
      </x:c>
      <x:c r="B113" s="40" t="str">
        <x:v>Email id=37</x:v>
      </x:c>
      <x:c r="C113" s="40" t="str"/>
      <x:c r="D113" s="40" t="str">
        <x:v>non précisé dans les fichiers examinés</x:v>
      </x:c>
      <x:c r="E113" s="40" t="str">
        <x:v>Courriel</x:v>
      </x:c>
      <x:c r="F113" s="40" t="str">
        <x:v>Référence explicitement listée dans l'inventaire global des faits, contenu non résumé</x:v>
      </x:c>
      <x:c r="G113" s="40" t="str">
        <x:v>Faits — inventaire global « Pièces citées »</x:v>
      </x:c>
      <x:c r="H113" s="40" t="str">
        <x:v>explicitement listée seulement</x:v>
      </x:c>
      <x:c r="I113" s="40" t="str">
        <x:v>Référence présente dans l'inventaire final des faits, mais contenu et date non résumés.</x:v>
      </x:c>
      <x:c r="J113" s="40" t="str">
        <x:v>noyau §9</x:v>
      </x:c>
      <x:c r="K113" s="40" t="str">
        <x:v>Référence interne identifiable</x:v>
      </x:c>
    </x:row>
    <x:row r="114">
      <x:c r="A114" s="42" t="n">
        <x:v>113</x:v>
      </x:c>
      <x:c r="B114" s="40" t="str">
        <x:v>Email id=38</x:v>
      </x:c>
      <x:c r="C114" s="40" t="str"/>
      <x:c r="D114" s="40" t="str">
        <x:v>non précisé dans les fichiers examinés</x:v>
      </x:c>
      <x:c r="E114" s="40" t="str">
        <x:v>Courriel</x:v>
      </x:c>
      <x:c r="F114" s="40" t="str">
        <x:v>Référence explicitement listée dans l'inventaire global des faits, contenu non résumé</x:v>
      </x:c>
      <x:c r="G114" s="40" t="str">
        <x:v>Faits — inventaire global « Pièces citées »</x:v>
      </x:c>
      <x:c r="H114" s="40" t="str">
        <x:v>explicitement listée seulement</x:v>
      </x:c>
      <x:c r="I114" s="40" t="str">
        <x:v>Référence présente dans l'inventaire final des faits, mais contenu et date non résumés.</x:v>
      </x:c>
      <x:c r="J114" s="40" t="str">
        <x:v>noyau §9</x:v>
      </x:c>
      <x:c r="K114" s="40" t="str">
        <x:v>Référence interne identifiable</x:v>
      </x:c>
    </x:row>
    <x:row r="115">
      <x:c r="A115" s="42" t="n">
        <x:v>114</x:v>
      </x:c>
      <x:c r="B115" s="40" t="str">
        <x:v>Email id=39</x:v>
      </x:c>
      <x:c r="C115" s="40" t="str"/>
      <x:c r="D115" s="40" t="str">
        <x:v>2013-06-27</x:v>
      </x:c>
      <x:c r="E115" s="40" t="str">
        <x:v>Courriel au supérieur</x:v>
      </x:c>
      <x:c r="F115" s="40" t="str">
        <x:v>Déclaration ne pas avoir vu les enfants depuis deux semaines</x:v>
      </x:c>
      <x:c r="G115" s="40" t="str">
        <x:v>Faits — récit et inventaire; Pont — version procédurale/récit; Pont — tableau « Pièces nécessaires »</x:v>
      </x:c>
      <x:c r="H115" s="40" t="str">
        <x:v>mentionnée dans le récit; explicitement listée</x:v>
      </x:c>
      <x:c r="I115" s="40" t="str"/>
      <x:c r="J115" s="40" t="str">
        <x:v>noyau §9</x:v>
      </x:c>
      <x:c r="K115" s="40" t="str">
        <x:v>Référence interne identifiable</x:v>
      </x:c>
    </x:row>
    <x:row r="116">
      <x:c r="A116" s="42" t="n">
        <x:v>115</x:v>
      </x:c>
      <x:c r="B116" s="40" t="str">
        <x:v>Email id=40</x:v>
      </x:c>
      <x:c r="C116" s="40" t="str"/>
      <x:c r="D116" s="40" t="str">
        <x:v>non précisé dans les fichiers examinés</x:v>
      </x:c>
      <x:c r="E116" s="40" t="str">
        <x:v>Courriel</x:v>
      </x:c>
      <x:c r="F116" s="40" t="str">
        <x:v>Référence explicitement listée dans l'inventaire global des faits, contenu non résumé</x:v>
      </x:c>
      <x:c r="G116" s="40" t="str">
        <x:v>Faits — inventaire global « Pièces citées »</x:v>
      </x:c>
      <x:c r="H116" s="40" t="str">
        <x:v>explicitement listée seulement</x:v>
      </x:c>
      <x:c r="I116" s="40" t="str">
        <x:v>Référence présente dans l'inventaire final des faits, mais contenu et date non résumés.</x:v>
      </x:c>
      <x:c r="J116" s="40" t="str">
        <x:v>noyau §9</x:v>
      </x:c>
      <x:c r="K116" s="40" t="str">
        <x:v>Référence interne identifiable</x:v>
      </x:c>
    </x:row>
    <x:row r="117">
      <x:c r="A117" s="42" t="n">
        <x:v>116</x:v>
      </x:c>
      <x:c r="B117" s="40" t="str">
        <x:v>Email id=49</x:v>
      </x:c>
      <x:c r="C117" s="40" t="str"/>
      <x:c r="D117" s="40" t="str">
        <x:v>2012-01-13</x:v>
      </x:c>
      <x:c r="E117" s="40" t="str">
        <x:v>Courriel familial</x:v>
      </x:c>
      <x:c r="F117" s="40" t="str">
        <x:v>Planification de vacances à Cape Cod intégrant Alexia</x:v>
      </x:c>
      <x:c r="G117" s="40" t="str">
        <x:v>Axe présence — planification familiale</x:v>
      </x:c>
      <x:c r="H117" s="40" t="str">
        <x:v>explicitement listée dans l'axe</x:v>
      </x:c>
      <x:c r="I117" s="40" t="str"/>
      <x:c r="J117" s="40" t="str">
        <x:v>contexte comparatif transversal</x:v>
      </x:c>
      <x:c r="K117" s="40" t="str">
        <x:v>Référence interne identifiable</x:v>
      </x:c>
    </x:row>
    <x:row r="118">
      <x:c r="A118" s="42" t="n">
        <x:v>117</x:v>
      </x:c>
      <x:c r="B118" s="40" t="str">
        <x:v>Email id=79</x:v>
      </x:c>
      <x:c r="C118" s="40" t="str"/>
      <x:c r="D118" s="40" t="str">
        <x:v>2010-12-11</x:v>
      </x:c>
      <x:c r="E118" s="40" t="str">
        <x:v>Courriel familial</x:v>
      </x:c>
      <x:c r="F118" s="40" t="str">
        <x:v>Visite au Père Noël avec Élise et Alexia</x:v>
      </x:c>
      <x:c r="G118" s="40" t="str">
        <x:v>Axe présence — planification familiale</x:v>
      </x:c>
      <x:c r="H118" s="40" t="str">
        <x:v>explicitement listée dans l'axe</x:v>
      </x:c>
      <x:c r="I118" s="40" t="str"/>
      <x:c r="J118" s="40" t="str">
        <x:v>contexte comparatif transversal</x:v>
      </x:c>
      <x:c r="K118" s="40" t="str">
        <x:v>Référence interne identifiable</x:v>
      </x:c>
    </x:row>
    <x:row r="119">
      <x:c r="A119" s="42" t="n">
        <x:v>118</x:v>
      </x:c>
      <x:c r="B119" s="40" t="str">
        <x:v>Email id=136</x:v>
      </x:c>
      <x:c r="C119" s="40" t="str">
        <x:v>P-267</x:v>
      </x:c>
      <x:c r="D119" s="40" t="str">
        <x:v>2013-07-19</x:v>
      </x:c>
      <x:c r="E119" s="40" t="str">
        <x:v>Courriel privé avec Ève Brunet</x:v>
      </x:c>
      <x:c r="F119" s="40" t="str">
        <x:v>Absence de sous-sol habitable</x:v>
      </x:c>
      <x:c r="G119" s="40" t="str">
        <x:v>Faits — récit et inventaire; Pont — version procédurale/récit; Pont — tableau « Pièces nécessaires »; Relation/Synthèse</x:v>
      </x:c>
      <x:c r="H119" s="40" t="str">
        <x:v>mentionnée dans le récit; explicitement listée</x:v>
      </x:c>
      <x:c r="I119" s="40" t="str">
        <x:v>Courriel privé du demandeur; authenticité, contexte et règle du ouï-dire à examiner.</x:v>
      </x:c>
      <x:c r="J119" s="40" t="str">
        <x:v>noyau §9</x:v>
      </x:c>
      <x:c r="K119" s="40" t="str">
        <x:v>Référence interne identifiable</x:v>
      </x:c>
    </x:row>
    <x:row r="120">
      <x:c r="A120" s="42" t="n">
        <x:v>119</x:v>
      </x:c>
      <x:c r="B120" s="40" t="str">
        <x:v>Email id=137</x:v>
      </x:c>
      <x:c r="C120" s="40" t="str"/>
      <x:c r="D120" s="40" t="str">
        <x:v>non précisé dans les fichiers examinés</x:v>
      </x:c>
      <x:c r="E120" s="40" t="str">
        <x:v>Courriel</x:v>
      </x:c>
      <x:c r="F120" s="40" t="str">
        <x:v>Corroboration de la démolition du sous-sol après inondation</x:v>
      </x:c>
      <x:c r="G120" s="40" t="str">
        <x:v>Faits — récit et inventaire; Pont — version procédurale/récit; Pont — tableau « Pièces nécessaires »; Relation/Synthèse</x:v>
      </x:c>
      <x:c r="H120" s="40" t="str">
        <x:v>mentionnée dans le récit; explicitement listée</x:v>
      </x:c>
      <x:c r="I120" s="40" t="str">
        <x:v>Référence présente dans l'inventaire final des faits, mais contenu et date non résumés.</x:v>
      </x:c>
      <x:c r="J120" s="40" t="str">
        <x:v>noyau §9</x:v>
      </x:c>
      <x:c r="K120" s="40" t="str">
        <x:v>Référence interne identifiable</x:v>
      </x:c>
    </x:row>
    <x:row r="121">
      <x:c r="A121" s="42" t="n">
        <x:v>120</x:v>
      </x:c>
      <x:c r="B121" s="40" t="str">
        <x:v>Email id=350</x:v>
      </x:c>
      <x:c r="C121" s="40" t="str"/>
      <x:c r="D121" s="40" t="str">
        <x:v>2013-09-10</x:v>
      </x:c>
      <x:c r="E121" s="40" t="str">
        <x:v>Courriel de la demanderesse</x:v>
      </x:c>
      <x:c r="F121" s="40" t="str">
        <x:v>Proposition de voyage familial pour quatre</x:v>
      </x:c>
      <x:c r="G121" s="40" t="str">
        <x:v>Faits — récit et inventaire; Pont — version procédurale/récit; Pont — tableau « Pièces nécessaires »</x:v>
      </x:c>
      <x:c r="H121" s="40" t="str">
        <x:v>mentionnée dans le récit; explicitement listée</x:v>
      </x:c>
      <x:c r="I121" s="40" t="str"/>
      <x:c r="J121" s="40" t="str">
        <x:v>noyau §9</x:v>
      </x:c>
      <x:c r="K121" s="40" t="str">
        <x:v>Référence interne identifiable</x:v>
      </x:c>
    </x:row>
    <x:row r="122">
      <x:c r="A122" s="42" t="n">
        <x:v>121</x:v>
      </x:c>
      <x:c r="B122" s="40" t="str">
        <x:v>Email id=351</x:v>
      </x:c>
      <x:c r="C122" s="40" t="str"/>
      <x:c r="D122" s="40" t="str">
        <x:v>2013-09-10</x:v>
      </x:c>
      <x:c r="E122" s="40" t="str">
        <x:v>Courriel de la demanderesse</x:v>
      </x:c>
      <x:c r="F122" s="40" t="str">
        <x:v>Suite du fil de proposition de voyage familial</x:v>
      </x:c>
      <x:c r="G122" s="40" t="str">
        <x:v>Faits — récit et inventaire; Pont — version procédurale/récit; Pont — tableau « Pièces nécessaires »</x:v>
      </x:c>
      <x:c r="H122" s="40" t="str">
        <x:v>mentionnée dans le récit; explicitement listée</x:v>
      </x:c>
      <x:c r="I122" s="40" t="str"/>
      <x:c r="J122" s="40" t="str">
        <x:v>noyau §9</x:v>
      </x:c>
      <x:c r="K122" s="40" t="str">
        <x:v>Référence interne identifiable</x:v>
      </x:c>
    </x:row>
    <x:row r="123">
      <x:c r="A123" s="42" t="n">
        <x:v>122</x:v>
      </x:c>
      <x:c r="B123" s="40" t="str">
        <x:v>Email id=352</x:v>
      </x:c>
      <x:c r="C123" s="40" t="str"/>
      <x:c r="D123" s="40" t="str">
        <x:v>2013-09-10</x:v>
      </x:c>
      <x:c r="E123" s="40" t="str">
        <x:v>Courriel de la demanderesse</x:v>
      </x:c>
      <x:c r="F123" s="40" t="str">
        <x:v>Suite du fil de proposition de voyage familial</x:v>
      </x:c>
      <x:c r="G123" s="40" t="str">
        <x:v>Faits — récit et inventaire; Pont — version procédurale/récit; Pont — tableau « Pièces nécessaires »</x:v>
      </x:c>
      <x:c r="H123" s="40" t="str">
        <x:v>mentionnée dans le récit; explicitement listée</x:v>
      </x:c>
      <x:c r="I123" s="40" t="str"/>
      <x:c r="J123" s="40" t="str">
        <x:v>noyau §9</x:v>
      </x:c>
      <x:c r="K123" s="40" t="str">
        <x:v>Référence interne identifiable</x:v>
      </x:c>
    </x:row>
    <x:row r="124">
      <x:c r="A124" s="42" t="n">
        <x:v>123</x:v>
      </x:c>
      <x:c r="B124" s="40" t="str">
        <x:v>Email id=355</x:v>
      </x:c>
      <x:c r="C124" s="40" t="str"/>
      <x:c r="D124" s="40" t="str">
        <x:v>2013-08-27</x:v>
      </x:c>
      <x:c r="E124" s="40" t="str">
        <x:v>Courriel/inscription</x:v>
      </x:c>
      <x:c r="F124" s="40" t="str">
        <x:v>Inscription des enfants à des activités de Loisir Saint-Lambert</x:v>
      </x:c>
      <x:c r="G124" s="40" t="str">
        <x:v>Faits — récit et inventaire; Pont — tableau « Pièces nécessaires »</x:v>
      </x:c>
      <x:c r="H124" s="40" t="str">
        <x:v>mentionnée dans le récit; explicitement listée</x:v>
      </x:c>
      <x:c r="I124" s="40" t="str"/>
      <x:c r="J124" s="40" t="str">
        <x:v>noyau §9</x:v>
      </x:c>
      <x:c r="K124" s="40" t="str">
        <x:v>Référence interne identifiable</x:v>
      </x:c>
    </x:row>
    <x:row r="125">
      <x:c r="A125" s="42" t="n">
        <x:v>124</x:v>
      </x:c>
      <x:c r="B125" s="40" t="str">
        <x:v>Email id=357</x:v>
      </x:c>
      <x:c r="C125" s="40" t="str"/>
      <x:c r="D125" s="40" t="str">
        <x:v>non précisé dans les fichiers examinés</x:v>
      </x:c>
      <x:c r="E125" s="40" t="str">
        <x:v>Courriel</x:v>
      </x:c>
      <x:c r="F125" s="40" t="str">
        <x:v>Référence explicitement listée dans l'inventaire global des faits, contenu non résumé</x:v>
      </x:c>
      <x:c r="G125" s="40" t="str">
        <x:v>Faits — inventaire global « Pièces citées »</x:v>
      </x:c>
      <x:c r="H125" s="40" t="str">
        <x:v>explicitement listée seulement</x:v>
      </x:c>
      <x:c r="I125" s="40" t="str">
        <x:v>Référence présente dans l'inventaire final des faits, mais contenu et date non résumés.</x:v>
      </x:c>
      <x:c r="J125" s="40" t="str">
        <x:v>noyau §9</x:v>
      </x:c>
      <x:c r="K125" s="40" t="str">
        <x:v>Référence interne identifiable</x:v>
      </x:c>
    </x:row>
    <x:row r="126">
      <x:c r="A126" s="42" t="n">
        <x:v>125</x:v>
      </x:c>
      <x:c r="B126" s="40" t="str">
        <x:v>Email id=360</x:v>
      </x:c>
      <x:c r="C126" s="40" t="str"/>
      <x:c r="D126" s="40" t="str">
        <x:v>non précisé dans les fichiers examinés</x:v>
      </x:c>
      <x:c r="E126" s="40" t="str">
        <x:v>Courriel</x:v>
      </x:c>
      <x:c r="F126" s="40" t="str">
        <x:v>Référence explicitement listée dans l'inventaire global des faits, contenu non résumé</x:v>
      </x:c>
      <x:c r="G126" s="40" t="str">
        <x:v>Faits — inventaire global « Pièces citées »</x:v>
      </x:c>
      <x:c r="H126" s="40" t="str">
        <x:v>explicitement listée seulement</x:v>
      </x:c>
      <x:c r="I126" s="40" t="str">
        <x:v>Référence présente dans l'inventaire final des faits, mais contenu et date non résumés.</x:v>
      </x:c>
      <x:c r="J126" s="40" t="str">
        <x:v>noyau §9</x:v>
      </x:c>
      <x:c r="K126" s="40" t="str">
        <x:v>Référence interne identifiable</x:v>
      </x:c>
    </x:row>
    <x:row r="127">
      <x:c r="A127" s="42" t="n">
        <x:v>126</x:v>
      </x:c>
      <x:c r="B127" s="40" t="str">
        <x:v>Email id=361</x:v>
      </x:c>
      <x:c r="C127" s="40" t="str"/>
      <x:c r="D127" s="40" t="str">
        <x:v>2013-07-21</x:v>
      </x:c>
      <x:c r="E127" s="40" t="str">
        <x:v>Courriel familial</x:v>
      </x:c>
      <x:c r="F127" s="40" t="str">
        <x:v>Invitation à souper avec Alexia</x:v>
      </x:c>
      <x:c r="G127" s="40" t="str">
        <x:v>Faits — inventaire global « Pièces citées »; Axe présence — planification familiale</x:v>
      </x:c>
      <x:c r="H127" s="40" t="str">
        <x:v>explicitement listée seulement; explicitement listée dans l'axe</x:v>
      </x:c>
      <x:c r="I127" s="40" t="str"/>
      <x:c r="J127" s="40" t="str">
        <x:v>noyau §9</x:v>
      </x:c>
      <x:c r="K127" s="40" t="str">
        <x:v>Référence interne identifiable</x:v>
      </x:c>
    </x:row>
    <x:row r="128">
      <x:c r="A128" s="42" t="n">
        <x:v>127</x:v>
      </x:c>
      <x:c r="B128" s="40" t="str">
        <x:v>Email id=362</x:v>
      </x:c>
      <x:c r="C128" s="40" t="str"/>
      <x:c r="D128" s="40" t="str">
        <x:v>2013-07-21</x:v>
      </x:c>
      <x:c r="E128" s="40" t="str">
        <x:v>Courriel familial</x:v>
      </x:c>
      <x:c r="F128" s="40" t="str">
        <x:v>Explication de la disponibilité pour le souper</x:v>
      </x:c>
      <x:c r="G128" s="40" t="str">
        <x:v>Faits — inventaire global « Pièces citées »; Axe présence — planification familiale</x:v>
      </x:c>
      <x:c r="H128" s="40" t="str">
        <x:v>explicitement listée seulement; explicitement listée dans l'axe</x:v>
      </x:c>
      <x:c r="I128" s="40" t="str"/>
      <x:c r="J128" s="40" t="str">
        <x:v>noyau §9</x:v>
      </x:c>
      <x:c r="K128" s="40" t="str">
        <x:v>Référence interne identifiable</x:v>
      </x:c>
    </x:row>
    <x:row r="129">
      <x:c r="A129" s="42" t="n">
        <x:v>128</x:v>
      </x:c>
      <x:c r="B129" s="40" t="str">
        <x:v>Email id=363</x:v>
      </x:c>
      <x:c r="C129" s="40" t="str"/>
      <x:c r="D129" s="40" t="str">
        <x:v>2013-07-21</x:v>
      </x:c>
      <x:c r="E129" s="40" t="str">
        <x:v>Courriel familial</x:v>
      </x:c>
      <x:c r="F129" s="40" t="str">
        <x:v>Confirmation proposée du souper ensemble</x:v>
      </x:c>
      <x:c r="G129" s="40" t="str">
        <x:v>Faits — inventaire global « Pièces citées »; Axe présence — planification familiale</x:v>
      </x:c>
      <x:c r="H129" s="40" t="str">
        <x:v>explicitement listée seulement; explicitement listée dans l'axe</x:v>
      </x:c>
      <x:c r="I129" s="40" t="str"/>
      <x:c r="J129" s="40" t="str">
        <x:v>noyau §9</x:v>
      </x:c>
      <x:c r="K129" s="40" t="str">
        <x:v>Référence interne identifiable</x:v>
      </x:c>
    </x:row>
    <x:row r="130">
      <x:c r="A130" s="42" t="n">
        <x:v>129</x:v>
      </x:c>
      <x:c r="B130" s="40" t="str">
        <x:v>Email id=364</x:v>
      </x:c>
      <x:c r="C130" s="40" t="str"/>
      <x:c r="D130" s="40" t="str">
        <x:v>2013-07-21</x:v>
      </x:c>
      <x:c r="E130" s="40" t="str">
        <x:v>Courriel familial</x:v>
      </x:c>
      <x:c r="F130" s="40" t="str">
        <x:v>Confirmation du souper</x:v>
      </x:c>
      <x:c r="G130" s="40" t="str">
        <x:v>Faits — inventaire global « Pièces citées »; Axe présence — planification familiale</x:v>
      </x:c>
      <x:c r="H130" s="40" t="str">
        <x:v>explicitement listée seulement; explicitement listée dans l'axe</x:v>
      </x:c>
      <x:c r="I130" s="40" t="str"/>
      <x:c r="J130" s="40" t="str">
        <x:v>noyau §9</x:v>
      </x:c>
      <x:c r="K130" s="40" t="str">
        <x:v>Référence interne identifiable</x:v>
      </x:c>
    </x:row>
    <x:row r="131">
      <x:c r="A131" s="42" t="n">
        <x:v>130</x:v>
      </x:c>
      <x:c r="B131" s="40" t="str">
        <x:v>Email id=375</x:v>
      </x:c>
      <x:c r="C131" s="40" t="str"/>
      <x:c r="D131" s="40" t="str">
        <x:v>2012-07-19</x:v>
      </x:c>
      <x:c r="E131" s="40" t="str">
        <x:v>Courriel familial</x:v>
      </x:c>
      <x:c r="F131" s="40" t="str">
        <x:v>Proposition d'une nuitée d'Alexia au chalet</x:v>
      </x:c>
      <x:c r="G131" s="40" t="str">
        <x:v>Axe présence — planification familiale</x:v>
      </x:c>
      <x:c r="H131" s="40" t="str">
        <x:v>explicitement listée dans l'axe</x:v>
      </x:c>
      <x:c r="I131" s="40" t="str"/>
      <x:c r="J131" s="40" t="str">
        <x:v>contexte comparatif transversal</x:v>
      </x:c>
      <x:c r="K131" s="40" t="str">
        <x:v>Référence interne identifiable</x:v>
      </x:c>
    </x:row>
    <x:row r="132">
      <x:c r="A132" s="42" t="n">
        <x:v>131</x:v>
      </x:c>
      <x:c r="B132" s="40" t="str">
        <x:v>Email id=387</x:v>
      </x:c>
      <x:c r="C132" s="40" t="str"/>
      <x:c r="D132" s="40" t="str">
        <x:v>2011-07-15</x:v>
      </x:c>
      <x:c r="E132" s="40" t="str">
        <x:v>Courriel familial</x:v>
      </x:c>
      <x:c r="F132" s="40" t="str">
        <x:v>Planification d'une visite au chalet seul ou avec Alexia</x:v>
      </x:c>
      <x:c r="G132" s="40" t="str">
        <x:v>Axe présence — planification familiale</x:v>
      </x:c>
      <x:c r="H132" s="40" t="str">
        <x:v>explicitement listée dans l'axe</x:v>
      </x:c>
      <x:c r="I132" s="40" t="str"/>
      <x:c r="J132" s="40" t="str">
        <x:v>contexte comparatif transversal</x:v>
      </x:c>
      <x:c r="K132" s="40" t="str">
        <x:v>Référence interne identifiable</x:v>
      </x:c>
    </x:row>
    <x:row r="133">
      <x:c r="A133" s="42" t="n">
        <x:v>132</x:v>
      </x:c>
      <x:c r="B133" s="40" t="str">
        <x:v>Email id=388</x:v>
      </x:c>
      <x:c r="C133" s="40" t="str"/>
      <x:c r="D133" s="40" t="str">
        <x:v>2011-07-17</x:v>
      </x:c>
      <x:c r="E133" s="40" t="str">
        <x:v>Courriel familial</x:v>
      </x:c>
      <x:c r="F133" s="40" t="str">
        <x:v>Confirmation des arrangements de visite au chalet</x:v>
      </x:c>
      <x:c r="G133" s="40" t="str">
        <x:v>Axe présence — planification familiale</x:v>
      </x:c>
      <x:c r="H133" s="40" t="str">
        <x:v>explicitement listée dans l'axe</x:v>
      </x:c>
      <x:c r="I133" s="40" t="str"/>
      <x:c r="J133" s="40" t="str">
        <x:v>contexte comparatif transversal</x:v>
      </x:c>
      <x:c r="K133" s="40" t="str">
        <x:v>Référence interne identifiable</x:v>
      </x:c>
    </x:row>
    <x:row r="134">
      <x:c r="A134" s="42" t="n">
        <x:v>133</x:v>
      </x:c>
      <x:c r="B134" s="40" t="str">
        <x:v>Email id=390</x:v>
      </x:c>
      <x:c r="C134" s="40" t="str"/>
      <x:c r="D134" s="40" t="str">
        <x:v>2011-07-05</x:v>
      </x:c>
      <x:c r="E134" s="40" t="str">
        <x:v>Courriel familial</x:v>
      </x:c>
      <x:c r="F134" s="40" t="str">
        <x:v>Disponibilité pour un souper avec Alexia</x:v>
      </x:c>
      <x:c r="G134" s="40" t="str">
        <x:v>Axe présence — planification familiale</x:v>
      </x:c>
      <x:c r="H134" s="40" t="str">
        <x:v>explicitement listée dans l'axe</x:v>
      </x:c>
      <x:c r="I134" s="40" t="str"/>
      <x:c r="J134" s="40" t="str">
        <x:v>contexte comparatif transversal</x:v>
      </x:c>
      <x:c r="K134" s="40" t="str">
        <x:v>Référence interne identifiable</x:v>
      </x:c>
    </x:row>
    <x:row r="135">
      <x:c r="A135" s="42" t="n">
        <x:v>134</x:v>
      </x:c>
      <x:c r="B135" s="40" t="str">
        <x:v>Email id=391</x:v>
      </x:c>
      <x:c r="C135" s="40" t="str"/>
      <x:c r="D135" s="40" t="str">
        <x:v>2011-07-05</x:v>
      </x:c>
      <x:c r="E135" s="40" t="str">
        <x:v>Courriel familial</x:v>
      </x:c>
      <x:c r="F135" s="40" t="str">
        <x:v>Heure du souper ajustée si Alexia vient</x:v>
      </x:c>
      <x:c r="G135" s="40" t="str">
        <x:v>Axe présence — planification familiale</x:v>
      </x:c>
      <x:c r="H135" s="40" t="str">
        <x:v>explicitement listée dans l'axe</x:v>
      </x:c>
      <x:c r="I135" s="40" t="str"/>
      <x:c r="J135" s="40" t="str">
        <x:v>contexte comparatif transversal</x:v>
      </x:c>
      <x:c r="K135" s="40" t="str">
        <x:v>Référence interne identifiable</x:v>
      </x:c>
    </x:row>
    <x:row r="136">
      <x:c r="A136" s="42" t="n">
        <x:v>135</x:v>
      </x:c>
      <x:c r="B136" s="40" t="str">
        <x:v>Email id=393</x:v>
      </x:c>
      <x:c r="C136" s="40" t="str"/>
      <x:c r="D136" s="40" t="str">
        <x:v>2011-07-06</x:v>
      </x:c>
      <x:c r="E136" s="40" t="str">
        <x:v>Courriel familial</x:v>
      </x:c>
      <x:c r="F136" s="40" t="str">
        <x:v>Confirmation d'heure en fonction d'Alexia</x:v>
      </x:c>
      <x:c r="G136" s="40" t="str">
        <x:v>Axe présence — planification familiale</x:v>
      </x:c>
      <x:c r="H136" s="40" t="str">
        <x:v>explicitement listée dans l'axe</x:v>
      </x:c>
      <x:c r="I136" s="40" t="str"/>
      <x:c r="J136" s="40" t="str">
        <x:v>contexte comparatif transversal</x:v>
      </x:c>
      <x:c r="K136" s="40" t="str">
        <x:v>Référence interne identifiable</x:v>
      </x:c>
    </x:row>
    <x:row r="137">
      <x:c r="A137" s="42" t="n">
        <x:v>136</x:v>
      </x:c>
      <x:c r="B137" s="40" t="str">
        <x:v>Email id=394</x:v>
      </x:c>
      <x:c r="C137" s="40" t="str"/>
      <x:c r="D137" s="40" t="str">
        <x:v>2011-07-06</x:v>
      </x:c>
      <x:c r="E137" s="40" t="str">
        <x:v>Courriel familial</x:v>
      </x:c>
      <x:c r="F137" s="40" t="str">
        <x:v>Achat d'une piscine pour les visites d'Alexia</x:v>
      </x:c>
      <x:c r="G137" s="40" t="str">
        <x:v>Axe présence — planification familiale</x:v>
      </x:c>
      <x:c r="H137" s="40" t="str">
        <x:v>explicitement listée dans l'axe</x:v>
      </x:c>
      <x:c r="I137" s="40" t="str"/>
      <x:c r="J137" s="40" t="str">
        <x:v>contexte comparatif transversal</x:v>
      </x:c>
      <x:c r="K137" s="40" t="str">
        <x:v>Référence interne identifiable</x:v>
      </x:c>
    </x:row>
    <x:row r="138">
      <x:c r="A138" s="42" t="n">
        <x:v>137</x:v>
      </x:c>
      <x:c r="B138" s="40" t="str">
        <x:v>Email id=396</x:v>
      </x:c>
      <x:c r="C138" s="40" t="str"/>
      <x:c r="D138" s="40" t="str">
        <x:v>2011-04-12</x:v>
      </x:c>
      <x:c r="E138" s="40" t="str">
        <x:v>Courriel familial</x:v>
      </x:c>
      <x:c r="F138" s="40" t="str">
        <x:v>Souper de Pâques planifié selon l'horaire d'Alexia</x:v>
      </x:c>
      <x:c r="G138" s="40" t="str">
        <x:v>Axe présence — planification familiale</x:v>
      </x:c>
      <x:c r="H138" s="40" t="str">
        <x:v>explicitement listée dans l'axe</x:v>
      </x:c>
      <x:c r="I138" s="40" t="str"/>
      <x:c r="J138" s="40" t="str">
        <x:v>contexte comparatif transversal</x:v>
      </x:c>
      <x:c r="K138" s="40" t="str">
        <x:v>Référence interne identifiable</x:v>
      </x:c>
    </x:row>
    <x:row r="139">
      <x:c r="A139" s="42" t="n">
        <x:v>138</x:v>
      </x:c>
      <x:c r="B139" s="40" t="str">
        <x:v>Email id=397</x:v>
      </x:c>
      <x:c r="C139" s="40" t="str"/>
      <x:c r="D139" s="40" t="str">
        <x:v>2011-04-12</x:v>
      </x:c>
      <x:c r="E139" s="40" t="str">
        <x:v>Courriel familial</x:v>
      </x:c>
      <x:c r="F139" s="40" t="str">
        <x:v>Préférence de date selon la disponibilité d'Alexia</x:v>
      </x:c>
      <x:c r="G139" s="40" t="str">
        <x:v>Axe présence — planification familiale</x:v>
      </x:c>
      <x:c r="H139" s="40" t="str">
        <x:v>explicitement listée dans l'axe</x:v>
      </x:c>
      <x:c r="I139" s="40" t="str"/>
      <x:c r="J139" s="40" t="str">
        <x:v>contexte comparatif transversal</x:v>
      </x:c>
      <x:c r="K139" s="40" t="str">
        <x:v>Référence interne identifiable</x:v>
      </x:c>
    </x:row>
    <x:row r="140">
      <x:c r="A140" s="42" t="n">
        <x:v>139</x:v>
      </x:c>
      <x:c r="B140" s="40" t="str">
        <x:v>Email id=398</x:v>
      </x:c>
      <x:c r="C140" s="40" t="str"/>
      <x:c r="D140" s="40" t="str">
        <x:v>2011-04-12</x:v>
      </x:c>
      <x:c r="E140" s="40" t="str">
        <x:v>Courriel familial</x:v>
      </x:c>
      <x:c r="F140" s="40" t="str">
        <x:v>Ajustement de la date selon les disponibilités</x:v>
      </x:c>
      <x:c r="G140" s="40" t="str">
        <x:v>Axe présence — planification familiale</x:v>
      </x:c>
      <x:c r="H140" s="40" t="str">
        <x:v>explicitement listée dans l'axe</x:v>
      </x:c>
      <x:c r="I140" s="40" t="str"/>
      <x:c r="J140" s="40" t="str">
        <x:v>contexte comparatif transversal</x:v>
      </x:c>
      <x:c r="K140" s="40" t="str">
        <x:v>Référence interne identifiable</x:v>
      </x:c>
    </x:row>
    <x:row r="141">
      <x:c r="A141" s="42" t="n">
        <x:v>140</x:v>
      </x:c>
      <x:c r="B141" s="40" t="str">
        <x:v>Email id=443</x:v>
      </x:c>
      <x:c r="C141" s="40" t="str"/>
      <x:c r="D141" s="40" t="str">
        <x:v>non précisé dans les fichiers examinés</x:v>
      </x:c>
      <x:c r="E141" s="40" t="str">
        <x:v>Courriel</x:v>
      </x:c>
      <x:c r="F141" s="40" t="str">
        <x:v>Référence explicitement listée dans l'inventaire global des faits, contenu non résumé</x:v>
      </x:c>
      <x:c r="G141" s="40" t="str">
        <x:v>Faits — inventaire global « Pièces citées »</x:v>
      </x:c>
      <x:c r="H141" s="40" t="str">
        <x:v>explicitement listée seulement</x:v>
      </x:c>
      <x:c r="I141" s="40" t="str">
        <x:v>Référence présente dans l'inventaire final des faits, mais contenu et date non résumés.</x:v>
      </x:c>
      <x:c r="J141" s="40" t="str">
        <x:v>noyau §9</x:v>
      </x:c>
      <x:c r="K141" s="40" t="str">
        <x:v>Référence interne identifiable</x:v>
      </x:c>
    </x:row>
    <x:row r="142">
      <x:c r="A142" s="42" t="n">
        <x:v>141</x:v>
      </x:c>
      <x:c r="B142" s="40" t="str">
        <x:v>Email id=444</x:v>
      </x:c>
      <x:c r="C142" s="40" t="str"/>
      <x:c r="D142" s="40" t="str">
        <x:v>non précisé dans les fichiers examinés</x:v>
      </x:c>
      <x:c r="E142" s="40" t="str">
        <x:v>Courriel</x:v>
      </x:c>
      <x:c r="F142" s="40" t="str">
        <x:v>Référence explicitement listée dans l'inventaire global des faits, contenu non résumé</x:v>
      </x:c>
      <x:c r="G142" s="40" t="str">
        <x:v>Faits — inventaire global « Pièces citées »</x:v>
      </x:c>
      <x:c r="H142" s="40" t="str">
        <x:v>explicitement listée seulement</x:v>
      </x:c>
      <x:c r="I142" s="40" t="str">
        <x:v>Référence présente dans l'inventaire final des faits, mais contenu et date non résumés.</x:v>
      </x:c>
      <x:c r="J142" s="40" t="str">
        <x:v>noyau §9</x:v>
      </x:c>
      <x:c r="K142" s="40" t="str">
        <x:v>Référence interne identifiable</x:v>
      </x:c>
    </x:row>
    <x:row r="143">
      <x:c r="A143" s="42" t="n">
        <x:v>142</x:v>
      </x:c>
      <x:c r="B143" s="40" t="str">
        <x:v>Email id=445</x:v>
      </x:c>
      <x:c r="C143" s="40" t="str"/>
      <x:c r="D143" s="40" t="str">
        <x:v>non précisé dans les fichiers examinés</x:v>
      </x:c>
      <x:c r="E143" s="40" t="str">
        <x:v>Courriel</x:v>
      </x:c>
      <x:c r="F143" s="40" t="str">
        <x:v>Référence explicitement listée dans l'inventaire global des faits, contenu non résumé</x:v>
      </x:c>
      <x:c r="G143" s="40" t="str">
        <x:v>Faits — inventaire global « Pièces citées »</x:v>
      </x:c>
      <x:c r="H143" s="40" t="str">
        <x:v>explicitement listée seulement</x:v>
      </x:c>
      <x:c r="I143" s="40" t="str">
        <x:v>Référence présente dans l'inventaire final des faits, mais contenu et date non résumés.</x:v>
      </x:c>
      <x:c r="J143" s="40" t="str">
        <x:v>noyau §9</x:v>
      </x:c>
      <x:c r="K143" s="40" t="str">
        <x:v>Référence interne identifiable</x:v>
      </x:c>
    </x:row>
    <x:row r="144">
      <x:c r="A144" s="42" t="n">
        <x:v>143</x:v>
      </x:c>
      <x:c r="B144" s="40" t="str">
        <x:v>Email id=446</x:v>
      </x:c>
      <x:c r="C144" s="40" t="str"/>
      <x:c r="D144" s="40" t="str">
        <x:v>non précisé dans les fichiers examinés</x:v>
      </x:c>
      <x:c r="E144" s="40" t="str">
        <x:v>Courriel</x:v>
      </x:c>
      <x:c r="F144" s="40" t="str">
        <x:v>Référence explicitement listée dans l'inventaire global des faits, contenu non résumé</x:v>
      </x:c>
      <x:c r="G144" s="40" t="str">
        <x:v>Faits — inventaire global « Pièces citées »</x:v>
      </x:c>
      <x:c r="H144" s="40" t="str">
        <x:v>explicitement listée seulement</x:v>
      </x:c>
      <x:c r="I144" s="40" t="str">
        <x:v>Référence présente dans l'inventaire final des faits, mais contenu et date non résumés.</x:v>
      </x:c>
      <x:c r="J144" s="40" t="str">
        <x:v>noyau §9</x:v>
      </x:c>
      <x:c r="K144" s="40" t="str">
        <x:v>Référence interne identifiable</x:v>
      </x:c>
    </x:row>
    <x:row r="145">
      <x:c r="A145" s="42" t="n">
        <x:v>144</x:v>
      </x:c>
      <x:c r="B145" s="40" t="str">
        <x:v>Email id=447</x:v>
      </x:c>
      <x:c r="C145" s="40" t="str"/>
      <x:c r="D145" s="40" t="str">
        <x:v>non précisé dans les fichiers examinés</x:v>
      </x:c>
      <x:c r="E145" s="40" t="str">
        <x:v>Courriel</x:v>
      </x:c>
      <x:c r="F145" s="40" t="str">
        <x:v>Référence explicitement listée dans l'inventaire global des faits, contenu non résumé</x:v>
      </x:c>
      <x:c r="G145" s="40" t="str">
        <x:v>Faits — inventaire global « Pièces citées »</x:v>
      </x:c>
      <x:c r="H145" s="40" t="str">
        <x:v>explicitement listée seulement</x:v>
      </x:c>
      <x:c r="I145" s="40" t="str">
        <x:v>Référence présente dans l'inventaire final des faits, mais contenu et date non résumés.</x:v>
      </x:c>
      <x:c r="J145" s="40" t="str">
        <x:v>noyau §9</x:v>
      </x:c>
      <x:c r="K145" s="40" t="str">
        <x:v>Référence interne identifiable</x:v>
      </x:c>
    </x:row>
    <x:row r="146">
      <x:c r="A146" s="42" t="n">
        <x:v>145</x:v>
      </x:c>
      <x:c r="B146" s="40" t="str">
        <x:v>Email id=448</x:v>
      </x:c>
      <x:c r="C146" s="40" t="str"/>
      <x:c r="D146" s="40" t="str">
        <x:v>non précisé dans les fichiers examinés</x:v>
      </x:c>
      <x:c r="E146" s="40" t="str">
        <x:v>Courriel</x:v>
      </x:c>
      <x:c r="F146" s="40" t="str">
        <x:v>Référence explicitement listée dans l'inventaire global des faits, contenu non résumé</x:v>
      </x:c>
      <x:c r="G146" s="40" t="str">
        <x:v>Faits — inventaire global « Pièces citées »</x:v>
      </x:c>
      <x:c r="H146" s="40" t="str">
        <x:v>explicitement listée seulement</x:v>
      </x:c>
      <x:c r="I146" s="40" t="str">
        <x:v>Référence présente dans l'inventaire final des faits, mais contenu et date non résumés.</x:v>
      </x:c>
      <x:c r="J146" s="40" t="str">
        <x:v>noyau §9</x:v>
      </x:c>
      <x:c r="K146" s="40" t="str">
        <x:v>Référence interne identifiable</x:v>
      </x:c>
    </x:row>
    <x:row r="147">
      <x:c r="A147" s="42" t="n">
        <x:v>146</x:v>
      </x:c>
      <x:c r="B147" s="40" t="str">
        <x:v>Email id=449</x:v>
      </x:c>
      <x:c r="C147" s="40" t="str"/>
      <x:c r="D147" s="40" t="str">
        <x:v>non précisé dans les fichiers examinés</x:v>
      </x:c>
      <x:c r="E147" s="40" t="str">
        <x:v>Courriel</x:v>
      </x:c>
      <x:c r="F147" s="40" t="str">
        <x:v>Référence explicitement listée dans l'inventaire global des faits, contenu non résumé</x:v>
      </x:c>
      <x:c r="G147" s="40" t="str">
        <x:v>Faits — inventaire global « Pièces citées »</x:v>
      </x:c>
      <x:c r="H147" s="40" t="str">
        <x:v>explicitement listée seulement</x:v>
      </x:c>
      <x:c r="I147" s="40" t="str">
        <x:v>Référence présente dans l'inventaire final des faits, mais contenu et date non résumés.</x:v>
      </x:c>
      <x:c r="J147" s="40" t="str">
        <x:v>noyau §9</x:v>
      </x:c>
      <x:c r="K147" s="40" t="str">
        <x:v>Référence interne identifiable</x:v>
      </x:c>
    </x:row>
    <x:row r="148">
      <x:c r="A148" s="42" t="n">
        <x:v>147</x:v>
      </x:c>
      <x:c r="B148" s="40" t="str">
        <x:v>EmailThread pk=1</x:v>
      </x:c>
      <x:c r="C148" s="40" t="str">
        <x:v>EmailThread id=1; thread_id=183adb258899dcca</x:v>
      </x:c>
      <x:c r="D148" s="40" t="str">
        <x:v>2022-10-17</x:v>
      </x:c>
      <x:c r="E148" s="40" t="str">
        <x:v>Fil de courriels tiers</x:v>
      </x:c>
      <x:c r="F148" s="40" t="str">
        <x:v>Confirmation Allez Up des entrées enfants</x:v>
      </x:c>
      <x:c r="G148" s="40" t="str">
        <x:v>Faits — récit et inventaire; Pont — tableau et version procédurale</x:v>
      </x:c>
      <x:c r="H148" s="40" t="str">
        <x:v>mentionnée dans le récit; explicitement listée</x:v>
      </x:c>
      <x:c r="I148" s="40" t="str">
        <x:v>Les formes pk=1, id=1 et thread_id semblent désigner le même fil; conservées comme alias.</x:v>
      </x:c>
      <x:c r="J148" s="40" t="str">
        <x:v>noyau §9</x:v>
      </x:c>
      <x:c r="K148" s="40" t="str">
        <x:v>Référence interne identifiable</x:v>
      </x:c>
    </x:row>
    <x:row r="149">
      <x:c r="A149" s="42" t="n">
        <x:v>148</x:v>
      </x:c>
      <x:c r="B149" s="40" t="str">
        <x:v>EmailThread pk=26</x:v>
      </x:c>
      <x:c r="C149" s="40" t="str">
        <x:v>thread_id=1402bd28f3c7160f</x:v>
      </x:c>
      <x:c r="D149" s="40" t="str">
        <x:v>2013-07-29 à 2013-07-30</x:v>
      </x:c>
      <x:c r="E149" s="40" t="str">
        <x:v>Fil de courriels familial</x:v>
      </x:c>
      <x:c r="F149" s="40" t="str">
        <x:v>Prise en charge de Nicolas les jours de soccer</x:v>
      </x:c>
      <x:c r="G149" s="40" t="str">
        <x:v>Faits — récit; Pont — tableau et version procédurale</x:v>
      </x:c>
      <x:c r="H149" s="40" t="str">
        <x:v>mentionnée dans le récit; omise de l'inventaire final des faits</x:v>
      </x:c>
      <x:c r="I149" s="40" t="str">
        <x:v>Le fichier faits liste les courriels 32–33, mais son inventaire global ne liste pas EmailThread pk=26.</x:v>
      </x:c>
      <x:c r="J149" s="40" t="str">
        <x:v>noyau §9</x:v>
      </x:c>
      <x:c r="K149" s="40" t="str">
        <x:v>Référence interne identifiable</x:v>
      </x:c>
    </x:row>
    <x:row r="150">
      <x:c r="A150" s="42" t="n">
        <x:v>149</x:v>
      </x:c>
      <x:c r="B150" s="40" t="str">
        <x:v>EmailThread id=27</x:v>
      </x:c>
      <x:c r="C150" s="40" t="str">
        <x:v>piece_thread-27_email-34.md</x:v>
      </x:c>
      <x:c r="D150" s="40" t="str">
        <x:v>2013-07-22</x:v>
      </x:c>
      <x:c r="E150" s="40" t="str">
        <x:v>Fil de courriels</x:v>
      </x:c>
      <x:c r="F150" s="40" t="str">
        <x:v>Confirmation de la fête-surprise</x:v>
      </x:c>
      <x:c r="G150" s="40" t="str">
        <x:v>Faits — inventaire global</x:v>
      </x:c>
      <x:c r="H150" s="40" t="str">
        <x:v>explicitement listée</x:v>
      </x:c>
      <x:c r="I150" s="40" t="str">
        <x:v>La relation exacte avec le fichier piece_thread-27_email-34.md paraît forte, mais les deux références sont conservées.</x:v>
      </x:c>
      <x:c r="J150" s="40" t="str">
        <x:v>noyau §9</x:v>
      </x:c>
      <x:c r="K150" s="40" t="str">
        <x:v>Référence interne identifiable</x:v>
      </x:c>
    </x:row>
    <x:row r="151">
      <x:c r="A151" s="42" t="n">
        <x:v>150</x:v>
      </x:c>
      <x:c r="B151" s="40" t="str">
        <x:v>EmailThread id=159</x:v>
      </x:c>
      <x:c r="C151" s="40" t="str">
        <x:v>Liste des coach à l'été 2013</x:v>
      </x:c>
      <x:c r="D151" s="40" t="str">
        <x:v>non précisé dans les fichiers examinés</x:v>
      </x:c>
      <x:c r="E151" s="40" t="str">
        <x:v>Fil de courriels avec l'ASSL</x:v>
      </x:c>
      <x:c r="F151" s="40" t="str">
        <x:v>Disponibilité de renseignements historiques sur les entraîneurs</x:v>
      </x:c>
      <x:c r="G151" s="40" t="str">
        <x:v>Faits — récit et inventaire; Pont — tableau; Relation/Synthèse</x:v>
      </x:c>
      <x:c r="H151" s="40" t="str">
        <x:v>pièce complémentaire / corroboration</x:v>
      </x:c>
      <x:c r="I151" s="40" t="str">
        <x:v>Le fil n'identifie pas directement la demanderesse comme entraîneuse; seulement piste de corroboration.</x:v>
      </x:c>
      <x:c r="J151" s="40" t="str">
        <x:v>noyau §9</x:v>
      </x:c>
      <x:c r="K151" s="40" t="str">
        <x:v>Référence interne identifiable</x:v>
      </x:c>
    </x:row>
    <x:row r="152">
      <x:c r="A152" s="42" t="n">
        <x:v>151</x:v>
      </x:c>
      <x:c r="B152" s="40" t="str">
        <x:v>PDFDocument id=60</x:v>
      </x:c>
      <x:c r="C152" s="40" t="str">
        <x:v>P-267 (contexte du sous-sol)</x:v>
      </x:c>
      <x:c r="D152" s="40" t="str">
        <x:v>2012 / 2013</x:v>
      </x:c>
      <x:c r="E152" s="40" t="str">
        <x:v>Document PDF</x:v>
      </x:c>
      <x:c r="F152" s="40" t="str">
        <x:v>Démolition du sous-sol après inondation et absence de reconstruction</x:v>
      </x:c>
      <x:c r="G152" s="40" t="str">
        <x:v>Faits — récit et inventaire; Pont — tableau et version procédurale; Relation/Synthèse</x:v>
      </x:c>
      <x:c r="H152" s="40" t="str">
        <x:v>explicitement listée; soutien direct</x:v>
      </x:c>
      <x:c r="I152" s="40" t="str">
        <x:v>À distinguer des rénovations visées par le paragraphe 10.</x:v>
      </x:c>
      <x:c r="J152" s="40" t="str">
        <x:v>noyau §9</x:v>
      </x:c>
      <x:c r="K152" s="40" t="str">
        <x:v>Référence interne identifiable</x:v>
      </x:c>
    </x:row>
    <x:row r="153">
      <x:c r="A153" s="42" t="n">
        <x:v>152</x:v>
      </x:c>
      <x:c r="B153" s="40" t="str">
        <x:v>PDFDocument id=90</x:v>
      </x:c>
      <x:c r="C153" s="40" t="str">
        <x:v>« Horraire soccer St-Lambert »</x:v>
      </x:c>
      <x:c r="D153" s="40" t="str">
        <x:v>document récent; date exacte non précisée</x:v>
      </x:c>
      <x:c r="E153" s="40" t="str">
        <x:v>Document d'horaire illustratif</x:v>
      </x:c>
      <x:c r="F153" s="40" t="str">
        <x:v>Structure récurrente d'un horaire de soccer jeunesse</x:v>
      </x:c>
      <x:c r="G153" s="40" t="str">
        <x:v>Faits — sources additionnelles et inventaire; Pont — tableau/prudences</x:v>
      </x:c>
      <x:c r="H153" s="40" t="str">
        <x:v>pièce complémentaire</x:v>
      </x:c>
      <x:c r="I153" s="40" t="str">
        <x:v>Ne prouve pas l'horaire de 2013; usage illustratif seulement.</x:v>
      </x:c>
      <x:c r="J153" s="40" t="str">
        <x:v>noyau §9</x:v>
      </x:c>
      <x:c r="K153" s="40" t="str">
        <x:v>Référence interne identifiable</x:v>
      </x:c>
    </x:row>
    <x:row r="154">
      <x:c r="A154" s="42" t="n">
        <x:v>153</x:v>
      </x:c>
      <x:c r="B154" s="40" t="str">
        <x:v>PDFDocument id=91</x:v>
      </x:c>
      <x:c r="C154" s="40" t="str">
        <x:v>« Soccer St-Lambert date début et fin de session »</x:v>
      </x:c>
      <x:c r="D154" s="40" t="str">
        <x:v>document récent; date exacte non précisée</x:v>
      </x:c>
      <x:c r="E154" s="40" t="str">
        <x:v>Document de saison illustratif</x:v>
      </x:c>
      <x:c r="F154" s="40" t="str">
        <x:v>Structure d'une saison de soccer jeunesse</x:v>
      </x:c>
      <x:c r="G154" s="40" t="str">
        <x:v>Faits — sources additionnelles et inventaire; Pont — tableau/prudences</x:v>
      </x:c>
      <x:c r="H154" s="40" t="str">
        <x:v>pièce complémentaire</x:v>
      </x:c>
      <x:c r="I154" s="40" t="str">
        <x:v>Ne remplace pas Events id=239 et 263 pour la saison 2013.</x:v>
      </x:c>
      <x:c r="J154" s="40" t="str">
        <x:v>noyau §9</x:v>
      </x:c>
      <x:c r="K154" s="40" t="str">
        <x:v>Référence interne identifiable</x:v>
      </x:c>
    </x:row>
    <x:row r="155">
      <x:c r="A155" s="42" t="n">
        <x:v>154</x:v>
      </x:c>
      <x:c r="B155" s="40" t="str">
        <x:v>PhotoDocument id=5</x:v>
      </x:c>
      <x:c r="C155" s="40" t="str">
        <x:v>P-262 à P-265</x:v>
      </x:c>
      <x:c r="D155" s="40" t="str">
        <x:v>2013-07-14 à 2013-07-19</x:v>
      </x:c>
      <x:c r="E155" s="40" t="str">
        <x:v>Document photographique / conteneur</x:v>
      </x:c>
      <x:c r="F155" s="40" t="str">
        <x:v>Organisation de la fête-surprise</x:v>
      </x:c>
      <x:c r="G155" s="40" t="str">
        <x:v>Faits — récit et inventaire; Pont — tableau et version procédurale; Relation/Synthèse</x:v>
      </x:c>
      <x:c r="H155" s="40" t="str">
        <x:v>explicitement listée; soutien direct</x:v>
      </x:c>
      <x:c r="I155" s="40" t="str">
        <x:v>Conteneur distinct des événements 312–315 et des photos 4517–4522.</x:v>
      </x:c>
      <x:c r="J155" s="40" t="str">
        <x:v>noyau §9</x:v>
      </x:c>
      <x:c r="K155" s="40" t="str">
        <x:v>Référence interne identifiable</x:v>
      </x:c>
    </x:row>
    <x:row r="156">
      <x:c r="A156" s="42" t="n">
        <x:v>155</x:v>
      </x:c>
      <x:c r="B156" s="40" t="str">
        <x:v>Photo id=4517</x:v>
      </x:c>
      <x:c r="C156" s="40" t="str">
        <x:v>PhotoDocument id=5</x:v>
      </x:c>
      <x:c r="D156" s="40" t="str">
        <x:v>2013-07-14 à 2013-07-19</x:v>
      </x:c>
      <x:c r="E156" s="40" t="str">
        <x:v>Photographie individuelle</x:v>
      </x:c>
      <x:c r="F156" s="40" t="str">
        <x:v>Organisation et contexte de la fête-surprise</x:v>
      </x:c>
      <x:c r="G156" s="40" t="str">
        <x:v>Faits — récit (fait 19)</x:v>
      </x:c>
      <x:c r="H156" s="40" t="str">
        <x:v>mentionnée dans le récit; omise de l'inventaire final</x:v>
      </x:c>
      <x:c r="I156" s="40" t="str">
        <x:v>Les six photos sont citées dans le corps, mais absentes de la liste « Pièces citées ».</x:v>
      </x:c>
      <x:c r="J156" s="40" t="str">
        <x:v>noyau §9</x:v>
      </x:c>
      <x:c r="K156" s="40" t="str">
        <x:v>Référence interne identifiable</x:v>
      </x:c>
    </x:row>
    <x:row r="157">
      <x:c r="A157" s="42" t="n">
        <x:v>156</x:v>
      </x:c>
      <x:c r="B157" s="40" t="str">
        <x:v>Photo id=4518</x:v>
      </x:c>
      <x:c r="C157" s="40" t="str">
        <x:v>PhotoDocument id=5</x:v>
      </x:c>
      <x:c r="D157" s="40" t="str">
        <x:v>2013-07-14 à 2013-07-19</x:v>
      </x:c>
      <x:c r="E157" s="40" t="str">
        <x:v>Photographie individuelle</x:v>
      </x:c>
      <x:c r="F157" s="40" t="str">
        <x:v>Organisation et contexte de la fête-surprise</x:v>
      </x:c>
      <x:c r="G157" s="40" t="str">
        <x:v>Faits — récit (fait 19)</x:v>
      </x:c>
      <x:c r="H157" s="40" t="str">
        <x:v>mentionnée dans le récit; omise de l'inventaire final</x:v>
      </x:c>
      <x:c r="I157" s="40" t="str">
        <x:v>Les six photos sont citées dans le corps, mais absentes de la liste « Pièces citées ».</x:v>
      </x:c>
      <x:c r="J157" s="40" t="str">
        <x:v>noyau §9</x:v>
      </x:c>
      <x:c r="K157" s="40" t="str">
        <x:v>Référence interne identifiable</x:v>
      </x:c>
    </x:row>
    <x:row r="158">
      <x:c r="A158" s="42" t="n">
        <x:v>157</x:v>
      </x:c>
      <x:c r="B158" s="40" t="str">
        <x:v>Photo id=4519</x:v>
      </x:c>
      <x:c r="C158" s="40" t="str">
        <x:v>PhotoDocument id=5</x:v>
      </x:c>
      <x:c r="D158" s="40" t="str">
        <x:v>2013-07-14 à 2013-07-19</x:v>
      </x:c>
      <x:c r="E158" s="40" t="str">
        <x:v>Photographie individuelle</x:v>
      </x:c>
      <x:c r="F158" s="40" t="str">
        <x:v>Organisation et contexte de la fête-surprise</x:v>
      </x:c>
      <x:c r="G158" s="40" t="str">
        <x:v>Faits — récit (fait 19)</x:v>
      </x:c>
      <x:c r="H158" s="40" t="str">
        <x:v>mentionnée dans le récit; omise de l'inventaire final</x:v>
      </x:c>
      <x:c r="I158" s="40" t="str">
        <x:v>Les six photos sont citées dans le corps, mais absentes de la liste « Pièces citées ».</x:v>
      </x:c>
      <x:c r="J158" s="40" t="str">
        <x:v>noyau §9</x:v>
      </x:c>
      <x:c r="K158" s="40" t="str">
        <x:v>Référence interne identifiable</x:v>
      </x:c>
    </x:row>
    <x:row r="159">
      <x:c r="A159" s="42" t="n">
        <x:v>158</x:v>
      </x:c>
      <x:c r="B159" s="40" t="str">
        <x:v>Photo id=4520</x:v>
      </x:c>
      <x:c r="C159" s="40" t="str">
        <x:v>PhotoDocument id=5</x:v>
      </x:c>
      <x:c r="D159" s="40" t="str">
        <x:v>2013-07-14 à 2013-07-19</x:v>
      </x:c>
      <x:c r="E159" s="40" t="str">
        <x:v>Photographie individuelle</x:v>
      </x:c>
      <x:c r="F159" s="40" t="str">
        <x:v>Organisation et contexte de la fête-surprise</x:v>
      </x:c>
      <x:c r="G159" s="40" t="str">
        <x:v>Faits — récit (fait 19)</x:v>
      </x:c>
      <x:c r="H159" s="40" t="str">
        <x:v>mentionnée dans le récit; omise de l'inventaire final</x:v>
      </x:c>
      <x:c r="I159" s="40" t="str">
        <x:v>Les six photos sont citées dans le corps, mais absentes de la liste « Pièces citées ».</x:v>
      </x:c>
      <x:c r="J159" s="40" t="str">
        <x:v>noyau §9</x:v>
      </x:c>
      <x:c r="K159" s="40" t="str">
        <x:v>Référence interne identifiable</x:v>
      </x:c>
    </x:row>
    <x:row r="160">
      <x:c r="A160" s="42" t="n">
        <x:v>159</x:v>
      </x:c>
      <x:c r="B160" s="40" t="str">
        <x:v>Photo id=4521</x:v>
      </x:c>
      <x:c r="C160" s="40" t="str">
        <x:v>PhotoDocument id=5</x:v>
      </x:c>
      <x:c r="D160" s="40" t="str">
        <x:v>2013-07-14 à 2013-07-19</x:v>
      </x:c>
      <x:c r="E160" s="40" t="str">
        <x:v>Photographie individuelle</x:v>
      </x:c>
      <x:c r="F160" s="40" t="str">
        <x:v>Organisation et contexte de la fête-surprise</x:v>
      </x:c>
      <x:c r="G160" s="40" t="str">
        <x:v>Faits — récit (fait 19)</x:v>
      </x:c>
      <x:c r="H160" s="40" t="str">
        <x:v>mentionnée dans le récit; omise de l'inventaire final</x:v>
      </x:c>
      <x:c r="I160" s="40" t="str">
        <x:v>Les six photos sont citées dans le corps, mais absentes de la liste « Pièces citées ».</x:v>
      </x:c>
      <x:c r="J160" s="40" t="str">
        <x:v>noyau §9</x:v>
      </x:c>
      <x:c r="K160" s="40" t="str">
        <x:v>Référence interne identifiable</x:v>
      </x:c>
    </x:row>
    <x:row r="161">
      <x:c r="A161" s="42" t="n">
        <x:v>160</x:v>
      </x:c>
      <x:c r="B161" s="40" t="str">
        <x:v>Photo id=4522</x:v>
      </x:c>
      <x:c r="C161" s="40" t="str">
        <x:v>PhotoDocument id=5</x:v>
      </x:c>
      <x:c r="D161" s="40" t="str">
        <x:v>2013-07-14 à 2013-07-19</x:v>
      </x:c>
      <x:c r="E161" s="40" t="str">
        <x:v>Photographie individuelle</x:v>
      </x:c>
      <x:c r="F161" s="40" t="str">
        <x:v>Organisation et contexte de la fête-surprise</x:v>
      </x:c>
      <x:c r="G161" s="40" t="str">
        <x:v>Faits — récit (fait 19)</x:v>
      </x:c>
      <x:c r="H161" s="40" t="str">
        <x:v>mentionnée dans le récit; omise de l'inventaire final</x:v>
      </x:c>
      <x:c r="I161" s="40" t="str">
        <x:v>Les six photos sont citées dans le corps, mais absentes de la liste « Pièces citées ».</x:v>
      </x:c>
      <x:c r="J161" s="40" t="str">
        <x:v>noyau §9</x:v>
      </x:c>
      <x:c r="K161" s="40" t="str">
        <x:v>Référence interne identifiable</x:v>
      </x:c>
    </x:row>
    <x:row r="162">
      <x:c r="A162" s="42" t="n">
        <x:v>161</x:v>
      </x:c>
      <x:c r="B162" s="40" t="str">
        <x:v>P-234</x:v>
      </x:c>
      <x:c r="C162" s="40" t="str">
        <x:v>ancienne cote procédurale; référence interne non précisée</x:v>
      </x:c>
      <x:c r="D162" s="40" t="str">
        <x:v>mai–juin 2013, non précisé</x:v>
      </x:c>
      <x:c r="E162" s="40" t="str">
        <x:v>Parcs et sports</x:v>
      </x:c>
      <x:c r="F162" s="40" t="str">
        <x:v>Présence aux parcs Alexandra, L'Espérance et Préville</x:v>
      </x:c>
      <x:c r="G162" s="40" t="str">
        <x:v>Argument paragraphe 9</x:v>
      </x:c>
      <x:c r="H162" s="40" t="str">
        <x:v>mentionnée dans le récit; non normalisée</x:v>
      </x:c>
      <x:c r="I162" s="40" t="str">
        <x:v>Aucune référence interne Event/Email/PDF confirmée dans les fichiers examinés; ne pas fusionner par supposition.</x:v>
      </x:c>
      <x:c r="J162" s="40" t="str">
        <x:v>noyau §9</x:v>
      </x:c>
      <x:c r="K162" s="40" t="str">
        <x:v>Cote non rattachée</x:v>
      </x:c>
    </x:row>
    <x:row r="163">
      <x:c r="A163" s="42" t="n">
        <x:v>162</x:v>
      </x:c>
      <x:c r="B163" s="40" t="str">
        <x:v>P-236</x:v>
      </x:c>
      <x:c r="C163" s="40" t="str">
        <x:v>ancienne cote procédurale; référence interne non précisée</x:v>
      </x:c>
      <x:c r="D163" s="40" t="str">
        <x:v>mai–juin 2013, non précisé</x:v>
      </x:c>
      <x:c r="E163" s="40" t="str">
        <x:v>Parcs et sports</x:v>
      </x:c>
      <x:c r="F163" s="40" t="str">
        <x:v>Présence aux parcs</x:v>
      </x:c>
      <x:c r="G163" s="40" t="str">
        <x:v>Argument paragraphe 9</x:v>
      </x:c>
      <x:c r="H163" s="40" t="str">
        <x:v>mentionnée dans le récit; non normalisée</x:v>
      </x:c>
      <x:c r="I163" s="40" t="str">
        <x:v>Aucune référence interne Event/Email/PDF confirmée dans les fichiers examinés; ne pas fusionner par supposition.</x:v>
      </x:c>
      <x:c r="J163" s="40" t="str">
        <x:v>noyau §9</x:v>
      </x:c>
      <x:c r="K163" s="40" t="str">
        <x:v>Cote non rattachée</x:v>
      </x:c>
    </x:row>
    <x:row r="164">
      <x:c r="A164" s="42" t="n">
        <x:v>163</x:v>
      </x:c>
      <x:c r="B164" s="40" t="str">
        <x:v>P-238</x:v>
      </x:c>
      <x:c r="C164" s="40" t="str">
        <x:v>ancienne cote procédurale; référence interne non précisée</x:v>
      </x:c>
      <x:c r="D164" s="40" t="str">
        <x:v>mai–juin 2013, non précisé</x:v>
      </x:c>
      <x:c r="E164" s="40" t="str">
        <x:v>Parcs et sports</x:v>
      </x:c>
      <x:c r="F164" s="40" t="str">
        <x:v>Présence aux parcs</x:v>
      </x:c>
      <x:c r="G164" s="40" t="str">
        <x:v>Argument paragraphe 9</x:v>
      </x:c>
      <x:c r="H164" s="40" t="str">
        <x:v>mentionnée dans le récit; non normalisée</x:v>
      </x:c>
      <x:c r="I164" s="40" t="str">
        <x:v>Aucune référence interne Event/Email/PDF confirmée dans les fichiers examinés; ne pas fusionner par supposition.</x:v>
      </x:c>
      <x:c r="J164" s="40" t="str">
        <x:v>noyau §9</x:v>
      </x:c>
      <x:c r="K164" s="40" t="str">
        <x:v>Cote non rattachée</x:v>
      </x:c>
    </x:row>
    <x:row r="165">
      <x:c r="A165" s="42" t="n">
        <x:v>164</x:v>
      </x:c>
      <x:c r="B165" s="40" t="str">
        <x:v>P-239</x:v>
      </x:c>
      <x:c r="C165" s="40" t="str">
        <x:v>ancienne cote procédurale; référence interne non précisée</x:v>
      </x:c>
      <x:c r="D165" s="40" t="str">
        <x:v>mai–juin 2013, non précisé</x:v>
      </x:c>
      <x:c r="E165" s="40" t="str">
        <x:v>Parcs et sports</x:v>
      </x:c>
      <x:c r="F165" s="40" t="str">
        <x:v>Présence aux parcs</x:v>
      </x:c>
      <x:c r="G165" s="40" t="str">
        <x:v>Argument paragraphe 9</x:v>
      </x:c>
      <x:c r="H165" s="40" t="str">
        <x:v>mentionnée dans le récit; non normalisée</x:v>
      </x:c>
      <x:c r="I165" s="40" t="str">
        <x:v>Aucune référence interne Event/Email/PDF confirmée dans les fichiers examinés; ne pas fusionner par supposition.</x:v>
      </x:c>
      <x:c r="J165" s="40" t="str">
        <x:v>noyau §9</x:v>
      </x:c>
      <x:c r="K165" s="40" t="str">
        <x:v>Cote non rattachée</x:v>
      </x:c>
    </x:row>
    <x:row r="166">
      <x:c r="A166" s="42" t="n">
        <x:v>165</x:v>
      </x:c>
      <x:c r="B166" s="40" t="str">
        <x:v>P-240</x:v>
      </x:c>
      <x:c r="C166" s="40" t="str">
        <x:v>ancienne cote procédurale; référence interne non précisée</x:v>
      </x:c>
      <x:c r="D166" s="40" t="str">
        <x:v>2013-06-03</x:v>
      </x:c>
      <x:c r="E166" s="40" t="str">
        <x:v>Courriel ou document non identifié</x:v>
      </x:c>
      <x:c r="F166" s="40" t="str">
        <x:v>Congé du travail pour soigner la demanderesse et le bébé</x:v>
      </x:c>
      <x:c r="G166" s="40" t="str">
        <x:v>Argument paragraphe 9</x:v>
      </x:c>
      <x:c r="H166" s="40" t="str">
        <x:v>mentionnée dans le récit; non normalisée</x:v>
      </x:c>
      <x:c r="I166" s="40" t="str">
        <x:v>Aucune référence interne Event/Email/PDF confirmée dans les fichiers examinés; ne pas fusionner par supposition.</x:v>
      </x:c>
      <x:c r="J166" s="40" t="str">
        <x:v>noyau §9</x:v>
      </x:c>
      <x:c r="K166" s="40" t="str">
        <x:v>Cote non rattachée</x:v>
      </x:c>
    </x:row>
    <x:row r="167">
      <x:c r="A167" s="42" t="n">
        <x:v>166</x:v>
      </x:c>
      <x:c r="B167" s="40" t="str">
        <x:v>P-241</x:v>
      </x:c>
      <x:c r="C167" s="40" t="str">
        <x:v>ancienne cote procédurale; référence interne non précisée</x:v>
      </x:c>
      <x:c r="D167" s="40" t="str">
        <x:v>2013-06-09</x:v>
      </x:c>
      <x:c r="E167" s="40" t="str">
        <x:v>Courriel, photo ou document non identifié</x:v>
      </x:c>
      <x:c r="F167" s="40" t="str">
        <x:v>Soins médicaux d'Alexia et présence devant la maison</x:v>
      </x:c>
      <x:c r="G167" s="40" t="str">
        <x:v>Argument paragraphe 9</x:v>
      </x:c>
      <x:c r="H167" s="40" t="str">
        <x:v>mentionnée dans le récit; non normalisée</x:v>
      </x:c>
      <x:c r="I167" s="40" t="str">
        <x:v>Aucune référence interne Event/Email/PDF confirmée dans les fichiers examinés; ne pas fusionner par supposition.</x:v>
      </x:c>
      <x:c r="J167" s="40" t="str">
        <x:v>noyau §9</x:v>
      </x:c>
      <x:c r="K167" s="40" t="str">
        <x:v>Cote non rattachée</x:v>
      </x:c>
    </x:row>
    <x:row r="168">
      <x:c r="A168" s="42" t="n">
        <x:v>167</x:v>
      </x:c>
      <x:c r="B168" s="40" t="str">
        <x:v>P-273</x:v>
      </x:c>
      <x:c r="C168" s="40" t="str">
        <x:v>ancienne cote procédurale; référence interne non précisée</x:v>
      </x:c>
      <x:c r="D168" s="40" t="str">
        <x:v>2013-08-10 à 2013-08-17 selon l'argumentaire</x:v>
      </x:c>
      <x:c r="E168" s="40" t="str">
        <x:v>Ancienne cote non rattachée</x:v>
      </x:c>
      <x:c r="F168" s="40" t="str">
        <x:v>Voyage à Cape Cod</x:v>
      </x:c>
      <x:c r="G168" s="40" t="str">
        <x:v>Argument paragraphe 9</x:v>
      </x:c>
      <x:c r="H168" s="40" t="str">
        <x:v>mentionnée dans le récit; non normalisée</x:v>
      </x:c>
      <x:c r="I168" s="40" t="str">
        <x:v>Correspondance possible avec Events id=257–260, mais divergence de dates et de composition du groupe; ne pas fusionner sans vérification.</x:v>
      </x:c>
      <x:c r="J168" s="40" t="str">
        <x:v>noyau §9</x:v>
      </x:c>
      <x:c r="K168" s="40" t="str">
        <x:v>Cote non rattachée</x:v>
      </x:c>
    </x:row>
    <x:row r="169">
      <x:c r="A169" s="42" t="n">
        <x:v>168</x:v>
      </x:c>
      <x:c r="B169" s="40" t="str">
        <x:v>P-275</x:v>
      </x:c>
      <x:c r="C169" s="40" t="str">
        <x:v>ancienne cote procédurale; référence interne non précisée</x:v>
      </x:c>
      <x:c r="D169" s="40" t="str">
        <x:v>2013-08-10 à 2013-08-17 selon l'argumentaire</x:v>
      </x:c>
      <x:c r="E169" s="40" t="str">
        <x:v>Ancienne cote non rattachée</x:v>
      </x:c>
      <x:c r="F169" s="40" t="str">
        <x:v>Voyage à Cape Cod</x:v>
      </x:c>
      <x:c r="G169" s="40" t="str">
        <x:v>Argument paragraphe 9</x:v>
      </x:c>
      <x:c r="H169" s="40" t="str">
        <x:v>mentionnée dans le récit; non normalisée</x:v>
      </x:c>
      <x:c r="I169" s="40" t="str">
        <x:v>Correspondance possible avec Events id=257–260, mais divergence de dates et de composition du groupe; ne pas fusionner sans vérification.</x:v>
      </x:c>
      <x:c r="J169" s="40" t="str">
        <x:v>noyau §9</x:v>
      </x:c>
      <x:c r="K169" s="40" t="str">
        <x:v>Cote non rattachée</x:v>
      </x:c>
    </x:row>
    <x:row r="170">
      <x:c r="A170" s="42" t="n">
        <x:v>169</x:v>
      </x:c>
      <x:c r="B170" s="40" t="str">
        <x:v>P-276</x:v>
      </x:c>
      <x:c r="C170" s="40" t="str">
        <x:v>ancienne cote procédurale; référence interne non précisée</x:v>
      </x:c>
      <x:c r="D170" s="40" t="str">
        <x:v>2013-08-10 à 2013-08-17 selon l'argumentaire</x:v>
      </x:c>
      <x:c r="E170" s="40" t="str">
        <x:v>Ancienne cote non rattachée</x:v>
      </x:c>
      <x:c r="F170" s="40" t="str">
        <x:v>Voyage à Cape Cod</x:v>
      </x:c>
      <x:c r="G170" s="40" t="str">
        <x:v>Argument paragraphe 9</x:v>
      </x:c>
      <x:c r="H170" s="40" t="str">
        <x:v>mentionnée dans le récit; non normalisée</x:v>
      </x:c>
      <x:c r="I170" s="40" t="str">
        <x:v>Correspondance possible avec Events id=257–260, mais divergence de dates et de composition du groupe; ne pas fusionner sans vérification.</x:v>
      </x:c>
      <x:c r="J170" s="40" t="str">
        <x:v>noyau §9</x:v>
      </x:c>
      <x:c r="K170" s="40" t="str">
        <x:v>Cote non rattachée</x:v>
      </x:c>
    </x:row>
    <x:row r="171">
      <x:c r="A171" s="42" t="n">
        <x:v>170</x:v>
      </x:c>
      <x:c r="B171" s="40" t="str">
        <x:v>P-277</x:v>
      </x:c>
      <x:c r="C171" s="40" t="str">
        <x:v>ancienne cote procédurale; référence interne non précisée</x:v>
      </x:c>
      <x:c r="D171" s="40" t="str">
        <x:v>2013-08-10 à 2013-08-17 selon l'argumentaire</x:v>
      </x:c>
      <x:c r="E171" s="40" t="str">
        <x:v>Ancienne cote non rattachée</x:v>
      </x:c>
      <x:c r="F171" s="40" t="str">
        <x:v>Voyage à Cape Cod</x:v>
      </x:c>
      <x:c r="G171" s="40" t="str">
        <x:v>Argument paragraphe 9</x:v>
      </x:c>
      <x:c r="H171" s="40" t="str">
        <x:v>mentionnée dans le récit; non normalisée</x:v>
      </x:c>
      <x:c r="I171" s="40" t="str">
        <x:v>Correspondance possible avec Events id=257–260, mais divergence de dates et de composition du groupe; ne pas fusionner sans vérification.</x:v>
      </x:c>
      <x:c r="J171" s="40" t="str">
        <x:v>noyau §9</x:v>
      </x:c>
      <x:c r="K171" s="40" t="str">
        <x:v>Cote non rattachée</x:v>
      </x:c>
    </x:row>
    <x:row r="172">
      <x:c r="A172" s="42" t="n">
        <x:v>171</x:v>
      </x:c>
      <x:c r="B172" s="40" t="str">
        <x:v>P-278</x:v>
      </x:c>
      <x:c r="C172" s="40" t="str">
        <x:v>ancienne cote procédurale; référence interne non précisée</x:v>
      </x:c>
      <x:c r="D172" s="40" t="str">
        <x:v>2013-08-10 à 2013-08-17 selon l'argumentaire</x:v>
      </x:c>
      <x:c r="E172" s="40" t="str">
        <x:v>Ancienne cote non rattachée</x:v>
      </x:c>
      <x:c r="F172" s="40" t="str">
        <x:v>Voyage à Cape Cod</x:v>
      </x:c>
      <x:c r="G172" s="40" t="str">
        <x:v>Argument paragraphe 9</x:v>
      </x:c>
      <x:c r="H172" s="40" t="str">
        <x:v>mentionnée dans le récit; non normalisée</x:v>
      </x:c>
      <x:c r="I172" s="40" t="str">
        <x:v>Correspondance possible avec Events id=257–260, mais divergence de dates et de composition du groupe; ne pas fusionner sans vérification.</x:v>
      </x:c>
      <x:c r="J172" s="40" t="str">
        <x:v>noyau §9</x:v>
      </x:c>
      <x:c r="K172" s="40" t="str">
        <x:v>Cote non rattachée</x:v>
      </x:c>
    </x:row>
  </x:sheetData>
  <x:conditionalFormatting sqref="K2:K172">
    <x:cfRule type="expression" dxfId="0" priority="1">
      <x:formula>K2="Cote non rattachée"</x:formula>
    </x:cfRule>
  </x:conditionalFormatting>
  <x:conditionalFormatting sqref="I2:I172">
    <x:cfRule type="expression" dxfId="1" priority="2">
      <x:formula>ISNUMBER(SEARCH("secret professionnel",I2))</x:formula>
    </x:cfRule>
  </x:conditionalFormatting>
  <x:dataValidations count="2">
    <x:dataValidation type="list" sqref="J2:J172">
      <x:formula1>"noyau §9,axe transversal,contexte comparatif transversal"</x:formula1>
    </x:dataValidation>
    <x:dataValidation type="list" sqref="K2:K172">
      <x:formula1>"Référence interne identifiable,Cote non rattachée"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a3e5417b5e45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7" hidden="0" customWidth="1"/>
    <x:col min="4" max="4" width="20" hidden="0" customWidth="1"/>
    <x:col min="5" max="5" width="18" hidden="0" customWidth="1"/>
    <x:col min="6" max="6" width="20" hidden="0" customWidth="1"/>
    <x:col min="7" max="7" width="12" hidden="0" customWidth="1"/>
  </x:cols>
  <x:sheetData>
    <x:row r="1">
      <x:c r="A1" s="14" t="str">
        <x:v>Référence interne</x:v>
      </x:c>
      <x:c r="B1" s="14" t="str">
        <x:v>Faits</x:v>
      </x:c>
      <x:c r="C1" s="14" t="str">
        <x:v>Pont — récit</x:v>
      </x:c>
      <x:c r="D1" s="14" t="str">
        <x:v>Pont — tableau final</x:v>
      </x:c>
      <x:c r="E1" s="14" t="str">
        <x:v>Axe/Argument</x:v>
      </x:c>
      <x:c r="F1" s="14" t="str">
        <x:v>Relation/Synthèse</x:v>
      </x:c>
      <x:c r="G1" s="14" t="str">
        <x:v>Autre</x:v>
      </x:c>
    </x:row>
    <x:row r="2">
      <x:c r="A2" s="20" t="str">
        <x:v>piece_document-1.md</x:v>
      </x:c>
      <x:c r="B2" s="44" t="str">
        <x:v>✓</x:v>
      </x:c>
      <x:c r="C2" s="44" t="str">
        <x:v>✓</x:v>
      </x:c>
      <x:c r="D2" s="44" t="str">
        <x:v>✓</x:v>
      </x:c>
      <x:c r="E2" s="44" t="str">
        <x:v>Implicite</x:v>
      </x:c>
      <x:c r="F2" s="44" t="str">
        <x:v>Implicite</x:v>
      </x:c>
      <x:c r="G2" s="44" t="str">
        <x:v>—</x:v>
      </x:c>
    </x:row>
    <x:row r="3">
      <x:c r="A3" s="20" t="str">
        <x:v>piece_tableau_recap_evenements.md</x:v>
      </x:c>
      <x:c r="B3" s="44" t="str">
        <x:v>✓</x:v>
      </x:c>
      <x:c r="C3" s="44" t="str">
        <x:v>✓</x:v>
      </x:c>
      <x:c r="D3" s="44" t="str">
        <x:v>✓</x:v>
      </x:c>
      <x:c r="E3" s="44" t="str">
        <x:v>—</x:v>
      </x:c>
      <x:c r="F3" s="44" t="str">
        <x:v>—</x:v>
      </x:c>
      <x:c r="G3" s="44" t="str">
        <x:v>—</x:v>
      </x:c>
    </x:row>
    <x:row r="4">
      <x:c r="A4" s="20" t="str">
        <x:v>piece_event-312.md</x:v>
      </x:c>
      <x:c r="B4" s="44" t="str">
        <x:v>✓</x:v>
      </x:c>
      <x:c r="C4" s="44" t="str">
        <x:v>Implicite</x:v>
      </x:c>
      <x:c r="D4" s="44" t="str">
        <x:v>—</x:v>
      </x:c>
      <x:c r="E4" s="44" t="str">
        <x:v>—</x:v>
      </x:c>
      <x:c r="F4" s="44" t="str">
        <x:v>—</x:v>
      </x:c>
      <x:c r="G4" s="44" t="str">
        <x:v>—</x:v>
      </x:c>
    </x:row>
    <x:row r="5">
      <x:c r="A5" s="20" t="str">
        <x:v>piece_thread-27_email-34.md</x:v>
      </x:c>
      <x:c r="B5" s="44" t="str">
        <x:v>✓</x:v>
      </x:c>
      <x:c r="C5" s="44" t="str">
        <x:v>Implicite</x:v>
      </x:c>
      <x:c r="D5" s="44" t="str">
        <x:v>—</x:v>
      </x:c>
      <x:c r="E5" s="44" t="str">
        <x:v>—</x:v>
      </x:c>
      <x:c r="F5" s="44" t="str">
        <x:v>—</x:v>
      </x:c>
      <x:c r="G5" s="44" t="str">
        <x:v>—</x:v>
      </x:c>
    </x:row>
    <x:row r="6">
      <x:c r="A6" s="20" t="str">
        <x:v>piece_pdf-1.md</x:v>
      </x:c>
      <x:c r="B6" s="44" t="str">
        <x:v>Implicite</x:v>
      </x:c>
      <x:c r="C6" s="44" t="str">
        <x:v>Implicite</x:v>
      </x:c>
      <x:c r="D6" s="44" t="str">
        <x:v>Omis</x:v>
      </x:c>
      <x:c r="E6" s="44" t="str">
        <x:v>✓</x:v>
      </x:c>
      <x:c r="F6" s="44" t="str">
        <x:v>—</x:v>
      </x:c>
      <x:c r="G6" s="44" t="str">
        <x:v>—</x:v>
      </x:c>
    </x:row>
    <x:row r="7">
      <x:c r="A7" s="20" t="str">
        <x:v>Event id=17</x:v>
      </x:c>
      <x:c r="B7" s="44" t="str">
        <x:v>—</x:v>
      </x:c>
      <x:c r="C7" s="44" t="str">
        <x:v>—</x:v>
      </x:c>
      <x:c r="D7" s="44" t="str">
        <x:v>—</x:v>
      </x:c>
      <x:c r="E7" s="44" t="str">
        <x:v>✓</x:v>
      </x:c>
      <x:c r="F7" s="44" t="str">
        <x:v>—</x:v>
      </x:c>
      <x:c r="G7" s="44" t="str">
        <x:v>—</x:v>
      </x:c>
    </x:row>
    <x:row r="8">
      <x:c r="A8" s="20" t="str">
        <x:v>Event id=25</x:v>
      </x:c>
      <x:c r="B8" s="44" t="str">
        <x:v>—</x:v>
      </x:c>
      <x:c r="C8" s="44" t="str">
        <x:v>—</x:v>
      </x:c>
      <x:c r="D8" s="44" t="str">
        <x:v>—</x:v>
      </x:c>
      <x:c r="E8" s="44" t="str">
        <x:v>✓</x:v>
      </x:c>
      <x:c r="F8" s="44" t="str">
        <x:v>—</x:v>
      </x:c>
      <x:c r="G8" s="44" t="str">
        <x:v>—</x:v>
      </x:c>
    </x:row>
    <x:row r="9">
      <x:c r="A9" s="20" t="str">
        <x:v>Event id=36</x:v>
      </x:c>
      <x:c r="B9" s="44" t="str">
        <x:v>—</x:v>
      </x:c>
      <x:c r="C9" s="44" t="str">
        <x:v>—</x:v>
      </x:c>
      <x:c r="D9" s="44" t="str">
        <x:v>—</x:v>
      </x:c>
      <x:c r="E9" s="44" t="str">
        <x:v>✓</x:v>
      </x:c>
      <x:c r="F9" s="44" t="str">
        <x:v>—</x:v>
      </x:c>
      <x:c r="G9" s="44" t="str">
        <x:v>—</x:v>
      </x:c>
    </x:row>
    <x:row r="10">
      <x:c r="A10" s="20" t="str">
        <x:v>Event id=37</x:v>
      </x:c>
      <x:c r="B10" s="44" t="str">
        <x:v>—</x:v>
      </x:c>
      <x:c r="C10" s="44" t="str">
        <x:v>—</x:v>
      </x:c>
      <x:c r="D10" s="44" t="str">
        <x:v>—</x:v>
      </x:c>
      <x:c r="E10" s="44" t="str">
        <x:v>✓</x:v>
      </x:c>
      <x:c r="F10" s="44" t="str">
        <x:v>—</x:v>
      </x:c>
      <x:c r="G10" s="44" t="str">
        <x:v>—</x:v>
      </x:c>
    </x:row>
    <x:row r="11">
      <x:c r="A11" s="20" t="str">
        <x:v>Event id=45</x:v>
      </x:c>
      <x:c r="B11" s="44" t="str">
        <x:v>—</x:v>
      </x:c>
      <x:c r="C11" s="44" t="str">
        <x:v>—</x:v>
      </x:c>
      <x:c r="D11" s="44" t="str">
        <x:v>—</x:v>
      </x:c>
      <x:c r="E11" s="44" t="str">
        <x:v>✓</x:v>
      </x:c>
      <x:c r="F11" s="44" t="str">
        <x:v>—</x:v>
      </x:c>
      <x:c r="G11" s="44" t="str">
        <x:v>—</x:v>
      </x:c>
    </x:row>
    <x:row r="12">
      <x:c r="A12" s="20" t="str">
        <x:v>Event id=49</x:v>
      </x:c>
      <x:c r="B12" s="44" t="str">
        <x:v>—</x:v>
      </x:c>
      <x:c r="C12" s="44" t="str">
        <x:v>—</x:v>
      </x:c>
      <x:c r="D12" s="44" t="str">
        <x:v>—</x:v>
      </x:c>
      <x:c r="E12" s="44" t="str">
        <x:v>✓</x:v>
      </x:c>
      <x:c r="F12" s="44" t="str">
        <x:v>—</x:v>
      </x:c>
      <x:c r="G12" s="44" t="str">
        <x:v>—</x:v>
      </x:c>
    </x:row>
    <x:row r="13">
      <x:c r="A13" s="20" t="str">
        <x:v>Event id=53</x:v>
      </x:c>
      <x:c r="B13" s="44" t="str">
        <x:v>—</x:v>
      </x:c>
      <x:c r="C13" s="44" t="str">
        <x:v>—</x:v>
      </x:c>
      <x:c r="D13" s="44" t="str">
        <x:v>—</x:v>
      </x:c>
      <x:c r="E13" s="44" t="str">
        <x:v>✓</x:v>
      </x:c>
      <x:c r="F13" s="44" t="str">
        <x:v>—</x:v>
      </x:c>
      <x:c r="G13" s="44" t="str">
        <x:v>—</x:v>
      </x:c>
    </x:row>
    <x:row r="14">
      <x:c r="A14" s="20" t="str">
        <x:v>Event id=54</x:v>
      </x:c>
      <x:c r="B14" s="44" t="str">
        <x:v>—</x:v>
      </x:c>
      <x:c r="C14" s="44" t="str">
        <x:v>—</x:v>
      </x:c>
      <x:c r="D14" s="44" t="str">
        <x:v>—</x:v>
      </x:c>
      <x:c r="E14" s="44" t="str">
        <x:v>✓</x:v>
      </x:c>
      <x:c r="F14" s="44" t="str">
        <x:v>—</x:v>
      </x:c>
      <x:c r="G14" s="44" t="str">
        <x:v>—</x:v>
      </x:c>
    </x:row>
    <x:row r="15">
      <x:c r="A15" s="20" t="str">
        <x:v>Event id=56</x:v>
      </x:c>
      <x:c r="B15" s="44" t="str">
        <x:v>—</x:v>
      </x:c>
      <x:c r="C15" s="44" t="str">
        <x:v>—</x:v>
      </x:c>
      <x:c r="D15" s="44" t="str">
        <x:v>—</x:v>
      </x:c>
      <x:c r="E15" s="44" t="str">
        <x:v>✓</x:v>
      </x:c>
      <x:c r="F15" s="44" t="str">
        <x:v>—</x:v>
      </x:c>
      <x:c r="G15" s="44" t="str">
        <x:v>—</x:v>
      </x:c>
    </x:row>
    <x:row r="16">
      <x:c r="A16" s="20" t="str">
        <x:v>Event id=61</x:v>
      </x:c>
      <x:c r="B16" s="44" t="str">
        <x:v>—</x:v>
      </x:c>
      <x:c r="C16" s="44" t="str">
        <x:v>—</x:v>
      </x:c>
      <x:c r="D16" s="44" t="str">
        <x:v>—</x:v>
      </x:c>
      <x:c r="E16" s="44" t="str">
        <x:v>✓</x:v>
      </x:c>
      <x:c r="F16" s="44" t="str">
        <x:v>—</x:v>
      </x:c>
      <x:c r="G16" s="44" t="str">
        <x:v>—</x:v>
      </x:c>
    </x:row>
    <x:row r="17">
      <x:c r="A17" s="20" t="str">
        <x:v>Event id=62</x:v>
      </x:c>
      <x:c r="B17" s="44" t="str">
        <x:v>—</x:v>
      </x:c>
      <x:c r="C17" s="44" t="str">
        <x:v>—</x:v>
      </x:c>
      <x:c r="D17" s="44" t="str">
        <x:v>—</x:v>
      </x:c>
      <x:c r="E17" s="44" t="str">
        <x:v>✓</x:v>
      </x:c>
      <x:c r="F17" s="44" t="str">
        <x:v>—</x:v>
      </x:c>
      <x:c r="G17" s="44" t="str">
        <x:v>—</x:v>
      </x:c>
    </x:row>
    <x:row r="18">
      <x:c r="A18" s="20" t="str">
        <x:v>Event id=63</x:v>
      </x:c>
      <x:c r="B18" s="44" t="str">
        <x:v>—</x:v>
      </x:c>
      <x:c r="C18" s="44" t="str">
        <x:v>—</x:v>
      </x:c>
      <x:c r="D18" s="44" t="str">
        <x:v>—</x:v>
      </x:c>
      <x:c r="E18" s="44" t="str">
        <x:v>✓</x:v>
      </x:c>
      <x:c r="F18" s="44" t="str">
        <x:v>—</x:v>
      </x:c>
      <x:c r="G18" s="44" t="str">
        <x:v>—</x:v>
      </x:c>
    </x:row>
    <x:row r="19">
      <x:c r="A19" s="20" t="str">
        <x:v>Event id=64</x:v>
      </x:c>
      <x:c r="B19" s="44" t="str">
        <x:v>—</x:v>
      </x:c>
      <x:c r="C19" s="44" t="str">
        <x:v>—</x:v>
      </x:c>
      <x:c r="D19" s="44" t="str">
        <x:v>—</x:v>
      </x:c>
      <x:c r="E19" s="44" t="str">
        <x:v>✓</x:v>
      </x:c>
      <x:c r="F19" s="44" t="str">
        <x:v>—</x:v>
      </x:c>
      <x:c r="G19" s="44" t="str">
        <x:v>—</x:v>
      </x:c>
    </x:row>
    <x:row r="20">
      <x:c r="A20" s="20" t="str">
        <x:v>Event id=70</x:v>
      </x:c>
      <x:c r="B20" s="44" t="str">
        <x:v>—</x:v>
      </x:c>
      <x:c r="C20" s="44" t="str">
        <x:v>—</x:v>
      </x:c>
      <x:c r="D20" s="44" t="str">
        <x:v>—</x:v>
      </x:c>
      <x:c r="E20" s="44" t="str">
        <x:v>✓</x:v>
      </x:c>
      <x:c r="F20" s="44" t="str">
        <x:v>—</x:v>
      </x:c>
      <x:c r="G20" s="44" t="str">
        <x:v>—</x:v>
      </x:c>
    </x:row>
    <x:row r="21">
      <x:c r="A21" s="20" t="str">
        <x:v>Event id=71</x:v>
      </x:c>
      <x:c r="B21" s="44" t="str">
        <x:v>—</x:v>
      </x:c>
      <x:c r="C21" s="44" t="str">
        <x:v>—</x:v>
      </x:c>
      <x:c r="D21" s="44" t="str">
        <x:v>—</x:v>
      </x:c>
      <x:c r="E21" s="44" t="str">
        <x:v>✓</x:v>
      </x:c>
      <x:c r="F21" s="44" t="str">
        <x:v>—</x:v>
      </x:c>
      <x:c r="G21" s="44" t="str">
        <x:v>—</x:v>
      </x:c>
    </x:row>
    <x:row r="22">
      <x:c r="A22" s="20" t="str">
        <x:v>Event id=72</x:v>
      </x:c>
      <x:c r="B22" s="44" t="str">
        <x:v>—</x:v>
      </x:c>
      <x:c r="C22" s="44" t="str">
        <x:v>—</x:v>
      </x:c>
      <x:c r="D22" s="44" t="str">
        <x:v>—</x:v>
      </x:c>
      <x:c r="E22" s="44" t="str">
        <x:v>✓</x:v>
      </x:c>
      <x:c r="F22" s="44" t="str">
        <x:v>—</x:v>
      </x:c>
      <x:c r="G22" s="44" t="str">
        <x:v>—</x:v>
      </x:c>
    </x:row>
    <x:row r="23">
      <x:c r="A23" s="20" t="str">
        <x:v>Event id=75</x:v>
      </x:c>
      <x:c r="B23" s="44" t="str">
        <x:v>—</x:v>
      </x:c>
      <x:c r="C23" s="44" t="str">
        <x:v>—</x:v>
      </x:c>
      <x:c r="D23" s="44" t="str">
        <x:v>—</x:v>
      </x:c>
      <x:c r="E23" s="44" t="str">
        <x:v>✓</x:v>
      </x:c>
      <x:c r="F23" s="44" t="str">
        <x:v>—</x:v>
      </x:c>
      <x:c r="G23" s="44" t="str">
        <x:v>—</x:v>
      </x:c>
    </x:row>
    <x:row r="24">
      <x:c r="A24" s="20" t="str">
        <x:v>Event id=76</x:v>
      </x:c>
      <x:c r="B24" s="44" t="str">
        <x:v>—</x:v>
      </x:c>
      <x:c r="C24" s="44" t="str">
        <x:v>—</x:v>
      </x:c>
      <x:c r="D24" s="44" t="str">
        <x:v>—</x:v>
      </x:c>
      <x:c r="E24" s="44" t="str">
        <x:v>✓</x:v>
      </x:c>
      <x:c r="F24" s="44" t="str">
        <x:v>—</x:v>
      </x:c>
      <x:c r="G24" s="44" t="str">
        <x:v>—</x:v>
      </x:c>
    </x:row>
    <x:row r="25">
      <x:c r="A25" s="20" t="str">
        <x:v>Event id=77</x:v>
      </x:c>
      <x:c r="B25" s="44" t="str">
        <x:v>—</x:v>
      </x:c>
      <x:c r="C25" s="44" t="str">
        <x:v>—</x:v>
      </x:c>
      <x:c r="D25" s="44" t="str">
        <x:v>—</x:v>
      </x:c>
      <x:c r="E25" s="44" t="str">
        <x:v>✓</x:v>
      </x:c>
      <x:c r="F25" s="44" t="str">
        <x:v>—</x:v>
      </x:c>
      <x:c r="G25" s="44" t="str">
        <x:v>—</x:v>
      </x:c>
    </x:row>
    <x:row r="26">
      <x:c r="A26" s="20" t="str">
        <x:v>Event id=79</x:v>
      </x:c>
      <x:c r="B26" s="44" t="str">
        <x:v>—</x:v>
      </x:c>
      <x:c r="C26" s="44" t="str">
        <x:v>—</x:v>
      </x:c>
      <x:c r="D26" s="44" t="str">
        <x:v>—</x:v>
      </x:c>
      <x:c r="E26" s="44" t="str">
        <x:v>✓</x:v>
      </x:c>
      <x:c r="F26" s="44" t="str">
        <x:v>—</x:v>
      </x:c>
      <x:c r="G26" s="44" t="str">
        <x:v>—</x:v>
      </x:c>
    </x:row>
    <x:row r="27">
      <x:c r="A27" s="20" t="str">
        <x:v>Event id=80</x:v>
      </x:c>
      <x:c r="B27" s="44" t="str">
        <x:v>—</x:v>
      </x:c>
      <x:c r="C27" s="44" t="str">
        <x:v>—</x:v>
      </x:c>
      <x:c r="D27" s="44" t="str">
        <x:v>—</x:v>
      </x:c>
      <x:c r="E27" s="44" t="str">
        <x:v>✓</x:v>
      </x:c>
      <x:c r="F27" s="44" t="str">
        <x:v>—</x:v>
      </x:c>
      <x:c r="G27" s="44" t="str">
        <x:v>—</x:v>
      </x:c>
    </x:row>
    <x:row r="28">
      <x:c r="A28" s="20" t="str">
        <x:v>Event id=82</x:v>
      </x:c>
      <x:c r="B28" s="44" t="str">
        <x:v>—</x:v>
      </x:c>
      <x:c r="C28" s="44" t="str">
        <x:v>—</x:v>
      </x:c>
      <x:c r="D28" s="44" t="str">
        <x:v>—</x:v>
      </x:c>
      <x:c r="E28" s="44" t="str">
        <x:v>✓</x:v>
      </x:c>
      <x:c r="F28" s="44" t="str">
        <x:v>—</x:v>
      </x:c>
      <x:c r="G28" s="44" t="str">
        <x:v>—</x:v>
      </x:c>
    </x:row>
    <x:row r="29">
      <x:c r="A29" s="20" t="str">
        <x:v>Event id=83</x:v>
      </x:c>
      <x:c r="B29" s="44" t="str">
        <x:v>—</x:v>
      </x:c>
      <x:c r="C29" s="44" t="str">
        <x:v>—</x:v>
      </x:c>
      <x:c r="D29" s="44" t="str">
        <x:v>—</x:v>
      </x:c>
      <x:c r="E29" s="44" t="str">
        <x:v>✓</x:v>
      </x:c>
      <x:c r="F29" s="44" t="str">
        <x:v>—</x:v>
      </x:c>
      <x:c r="G29" s="44" t="str">
        <x:v>—</x:v>
      </x:c>
    </x:row>
    <x:row r="30">
      <x:c r="A30" s="20" t="str">
        <x:v>Event id=84</x:v>
      </x:c>
      <x:c r="B30" s="44" t="str">
        <x:v>—</x:v>
      </x:c>
      <x:c r="C30" s="44" t="str">
        <x:v>—</x:v>
      </x:c>
      <x:c r="D30" s="44" t="str">
        <x:v>—</x:v>
      </x:c>
      <x:c r="E30" s="44" t="str">
        <x:v>✓</x:v>
      </x:c>
      <x:c r="F30" s="44" t="str">
        <x:v>—</x:v>
      </x:c>
      <x:c r="G30" s="44" t="str">
        <x:v>—</x:v>
      </x:c>
    </x:row>
    <x:row r="31">
      <x:c r="A31" s="20" t="str">
        <x:v>Event id=87</x:v>
      </x:c>
      <x:c r="B31" s="44" t="str">
        <x:v>—</x:v>
      </x:c>
      <x:c r="C31" s="44" t="str">
        <x:v>—</x:v>
      </x:c>
      <x:c r="D31" s="44" t="str">
        <x:v>—</x:v>
      </x:c>
      <x:c r="E31" s="44" t="str">
        <x:v>✓</x:v>
      </x:c>
      <x:c r="F31" s="44" t="str">
        <x:v>—</x:v>
      </x:c>
      <x:c r="G31" s="44" t="str">
        <x:v>—</x:v>
      </x:c>
    </x:row>
    <x:row r="32">
      <x:c r="A32" s="20" t="str">
        <x:v>Event id=88</x:v>
      </x:c>
      <x:c r="B32" s="44" t="str">
        <x:v>—</x:v>
      </x:c>
      <x:c r="C32" s="44" t="str">
        <x:v>—</x:v>
      </x:c>
      <x:c r="D32" s="44" t="str">
        <x:v>—</x:v>
      </x:c>
      <x:c r="E32" s="44" t="str">
        <x:v>✓</x:v>
      </x:c>
      <x:c r="F32" s="44" t="str">
        <x:v>—</x:v>
      </x:c>
      <x:c r="G32" s="44" t="str">
        <x:v>—</x:v>
      </x:c>
    </x:row>
    <x:row r="33">
      <x:c r="A33" s="20" t="str">
        <x:v>Event id=89</x:v>
      </x:c>
      <x:c r="B33" s="44" t="str">
        <x:v>—</x:v>
      </x:c>
      <x:c r="C33" s="44" t="str">
        <x:v>—</x:v>
      </x:c>
      <x:c r="D33" s="44" t="str">
        <x:v>—</x:v>
      </x:c>
      <x:c r="E33" s="44" t="str">
        <x:v>✓</x:v>
      </x:c>
      <x:c r="F33" s="44" t="str">
        <x:v>—</x:v>
      </x:c>
      <x:c r="G33" s="44" t="str">
        <x:v>—</x:v>
      </x:c>
    </x:row>
    <x:row r="34">
      <x:c r="A34" s="20" t="str">
        <x:v>Event id=91</x:v>
      </x:c>
      <x:c r="B34" s="44" t="str">
        <x:v>—</x:v>
      </x:c>
      <x:c r="C34" s="44" t="str">
        <x:v>—</x:v>
      </x:c>
      <x:c r="D34" s="44" t="str">
        <x:v>—</x:v>
      </x:c>
      <x:c r="E34" s="44" t="str">
        <x:v>✓</x:v>
      </x:c>
      <x:c r="F34" s="44" t="str">
        <x:v>—</x:v>
      </x:c>
      <x:c r="G34" s="44" t="str">
        <x:v>—</x:v>
      </x:c>
    </x:row>
    <x:row r="35">
      <x:c r="A35" s="20" t="str">
        <x:v>Event id=106</x:v>
      </x:c>
      <x:c r="B35" s="44" t="str">
        <x:v>—</x:v>
      </x:c>
      <x:c r="C35" s="44" t="str">
        <x:v>—</x:v>
      </x:c>
      <x:c r="D35" s="44" t="str">
        <x:v>—</x:v>
      </x:c>
      <x:c r="E35" s="44" t="str">
        <x:v>✓</x:v>
      </x:c>
      <x:c r="F35" s="44" t="str">
        <x:v>—</x:v>
      </x:c>
      <x:c r="G35" s="44" t="str">
        <x:v>—</x:v>
      </x:c>
    </x:row>
    <x:row r="36">
      <x:c r="A36" s="20" t="str">
        <x:v>Event id=107</x:v>
      </x:c>
      <x:c r="B36" s="44" t="str">
        <x:v>—</x:v>
      </x:c>
      <x:c r="C36" s="44" t="str">
        <x:v>—</x:v>
      </x:c>
      <x:c r="D36" s="44" t="str">
        <x:v>—</x:v>
      </x:c>
      <x:c r="E36" s="44" t="str">
        <x:v>✓</x:v>
      </x:c>
      <x:c r="F36" s="44" t="str">
        <x:v>—</x:v>
      </x:c>
      <x:c r="G36" s="44" t="str">
        <x:v>—</x:v>
      </x:c>
    </x:row>
    <x:row r="37">
      <x:c r="A37" s="20" t="str">
        <x:v>Event id=109</x:v>
      </x:c>
      <x:c r="B37" s="44" t="str">
        <x:v>—</x:v>
      </x:c>
      <x:c r="C37" s="44" t="str">
        <x:v>—</x:v>
      </x:c>
      <x:c r="D37" s="44" t="str">
        <x:v>—</x:v>
      </x:c>
      <x:c r="E37" s="44" t="str">
        <x:v>✓</x:v>
      </x:c>
      <x:c r="F37" s="44" t="str">
        <x:v>—</x:v>
      </x:c>
      <x:c r="G37" s="44" t="str">
        <x:v>—</x:v>
      </x:c>
    </x:row>
    <x:row r="38">
      <x:c r="A38" s="20" t="str">
        <x:v>Event id=135</x:v>
      </x:c>
      <x:c r="B38" s="44" t="str">
        <x:v>—</x:v>
      </x:c>
      <x:c r="C38" s="44" t="str">
        <x:v>—</x:v>
      </x:c>
      <x:c r="D38" s="44" t="str">
        <x:v>—</x:v>
      </x:c>
      <x:c r="E38" s="44" t="str">
        <x:v>✓</x:v>
      </x:c>
      <x:c r="F38" s="44" t="str">
        <x:v>—</x:v>
      </x:c>
      <x:c r="G38" s="44" t="str">
        <x:v>—</x:v>
      </x:c>
    </x:row>
    <x:row r="39">
      <x:c r="A39" s="20" t="str">
        <x:v>Event id=136</x:v>
      </x:c>
      <x:c r="B39" s="44" t="str">
        <x:v>—</x:v>
      </x:c>
      <x:c r="C39" s="44" t="str">
        <x:v>—</x:v>
      </x:c>
      <x:c r="D39" s="44" t="str">
        <x:v>—</x:v>
      </x:c>
      <x:c r="E39" s="44" t="str">
        <x:v>✓</x:v>
      </x:c>
      <x:c r="F39" s="44" t="str">
        <x:v>—</x:v>
      </x:c>
      <x:c r="G39" s="44" t="str">
        <x:v>—</x:v>
      </x:c>
    </x:row>
    <x:row r="40">
      <x:c r="A40" s="20" t="str">
        <x:v>Event id=140</x:v>
      </x:c>
      <x:c r="B40" s="44" t="str">
        <x:v>—</x:v>
      </x:c>
      <x:c r="C40" s="44" t="str">
        <x:v>—</x:v>
      </x:c>
      <x:c r="D40" s="44" t="str">
        <x:v>—</x:v>
      </x:c>
      <x:c r="E40" s="44" t="str">
        <x:v>✓</x:v>
      </x:c>
      <x:c r="F40" s="44" t="str">
        <x:v>—</x:v>
      </x:c>
      <x:c r="G40" s="44" t="str">
        <x:v>—</x:v>
      </x:c>
    </x:row>
    <x:row r="41">
      <x:c r="A41" s="20" t="str">
        <x:v>Event id=141</x:v>
      </x:c>
      <x:c r="B41" s="44" t="str">
        <x:v>—</x:v>
      </x:c>
      <x:c r="C41" s="44" t="str">
        <x:v>—</x:v>
      </x:c>
      <x:c r="D41" s="44" t="str">
        <x:v>—</x:v>
      </x:c>
      <x:c r="E41" s="44" t="str">
        <x:v>✓</x:v>
      </x:c>
      <x:c r="F41" s="44" t="str">
        <x:v>—</x:v>
      </x:c>
      <x:c r="G41" s="44" t="str">
        <x:v>—</x:v>
      </x:c>
    </x:row>
    <x:row r="42">
      <x:c r="A42" s="20" t="str">
        <x:v>Event id=150</x:v>
      </x:c>
      <x:c r="B42" s="44" t="str">
        <x:v>—</x:v>
      </x:c>
      <x:c r="C42" s="44" t="str">
        <x:v>—</x:v>
      </x:c>
      <x:c r="D42" s="44" t="str">
        <x:v>—</x:v>
      </x:c>
      <x:c r="E42" s="44" t="str">
        <x:v>✓</x:v>
      </x:c>
      <x:c r="F42" s="44" t="str">
        <x:v>—</x:v>
      </x:c>
      <x:c r="G42" s="44" t="str">
        <x:v>—</x:v>
      </x:c>
    </x:row>
    <x:row r="43">
      <x:c r="A43" s="20" t="str">
        <x:v>Event id=166</x:v>
      </x:c>
      <x:c r="B43" s="44" t="str">
        <x:v>—</x:v>
      </x:c>
      <x:c r="C43" s="44" t="str">
        <x:v>—</x:v>
      </x:c>
      <x:c r="D43" s="44" t="str">
        <x:v>—</x:v>
      </x:c>
      <x:c r="E43" s="44" t="str">
        <x:v>✓</x:v>
      </x:c>
      <x:c r="F43" s="44" t="str">
        <x:v>—</x:v>
      </x:c>
      <x:c r="G43" s="44" t="str">
        <x:v>—</x:v>
      </x:c>
    </x:row>
    <x:row r="44">
      <x:c r="A44" s="20" t="str">
        <x:v>Event id=171</x:v>
      </x:c>
      <x:c r="B44" s="44" t="str">
        <x:v>—</x:v>
      </x:c>
      <x:c r="C44" s="44" t="str">
        <x:v>—</x:v>
      </x:c>
      <x:c r="D44" s="44" t="str">
        <x:v>—</x:v>
      </x:c>
      <x:c r="E44" s="44" t="str">
        <x:v>✓</x:v>
      </x:c>
      <x:c r="F44" s="44" t="str">
        <x:v>—</x:v>
      </x:c>
      <x:c r="G44" s="44" t="str">
        <x:v>—</x:v>
      </x:c>
    </x:row>
    <x:row r="45">
      <x:c r="A45" s="20" t="str">
        <x:v>Event id=172</x:v>
      </x:c>
      <x:c r="B45" s="44" t="str">
        <x:v>—</x:v>
      </x:c>
      <x:c r="C45" s="44" t="str">
        <x:v>—</x:v>
      </x:c>
      <x:c r="D45" s="44" t="str">
        <x:v>—</x:v>
      </x:c>
      <x:c r="E45" s="44" t="str">
        <x:v>✓</x:v>
      </x:c>
      <x:c r="F45" s="44" t="str">
        <x:v>—</x:v>
      </x:c>
      <x:c r="G45" s="44" t="str">
        <x:v>—</x:v>
      </x:c>
    </x:row>
    <x:row r="46">
      <x:c r="A46" s="20" t="str">
        <x:v>Event id=178</x:v>
      </x:c>
      <x:c r="B46" s="44" t="str">
        <x:v>—</x:v>
      </x:c>
      <x:c r="C46" s="44" t="str">
        <x:v>—</x:v>
      </x:c>
      <x:c r="D46" s="44" t="str">
        <x:v>—</x:v>
      </x:c>
      <x:c r="E46" s="44" t="str">
        <x:v>✓</x:v>
      </x:c>
      <x:c r="F46" s="44" t="str">
        <x:v>—</x:v>
      </x:c>
      <x:c r="G46" s="44" t="str">
        <x:v>—</x:v>
      </x:c>
    </x:row>
    <x:row r="47">
      <x:c r="A47" s="20" t="str">
        <x:v>Event id=179</x:v>
      </x:c>
      <x:c r="B47" s="44" t="str">
        <x:v>—</x:v>
      </x:c>
      <x:c r="C47" s="44" t="str">
        <x:v>—</x:v>
      </x:c>
      <x:c r="D47" s="44" t="str">
        <x:v>—</x:v>
      </x:c>
      <x:c r="E47" s="44" t="str">
        <x:v>✓</x:v>
      </x:c>
      <x:c r="F47" s="44" t="str">
        <x:v>—</x:v>
      </x:c>
      <x:c r="G47" s="44" t="str">
        <x:v>—</x:v>
      </x:c>
    </x:row>
    <x:row r="48">
      <x:c r="A48" s="20" t="str">
        <x:v>Event id=180</x:v>
      </x:c>
      <x:c r="B48" s="44" t="str">
        <x:v>—</x:v>
      </x:c>
      <x:c r="C48" s="44" t="str">
        <x:v>—</x:v>
      </x:c>
      <x:c r="D48" s="44" t="str">
        <x:v>—</x:v>
      </x:c>
      <x:c r="E48" s="44" t="str">
        <x:v>✓</x:v>
      </x:c>
      <x:c r="F48" s="44" t="str">
        <x:v>—</x:v>
      </x:c>
      <x:c r="G48" s="44" t="str">
        <x:v>—</x:v>
      </x:c>
    </x:row>
    <x:row r="49">
      <x:c r="A49" s="20" t="str">
        <x:v>Event id=185</x:v>
      </x:c>
      <x:c r="B49" s="44" t="str">
        <x:v>—</x:v>
      </x:c>
      <x:c r="C49" s="44" t="str">
        <x:v>—</x:v>
      </x:c>
      <x:c r="D49" s="44" t="str">
        <x:v>—</x:v>
      </x:c>
      <x:c r="E49" s="44" t="str">
        <x:v>✓</x:v>
      </x:c>
      <x:c r="F49" s="44" t="str">
        <x:v>—</x:v>
      </x:c>
      <x:c r="G49" s="44" t="str">
        <x:v>—</x:v>
      </x:c>
    </x:row>
    <x:row r="50">
      <x:c r="A50" s="20" t="str">
        <x:v>Event id=188</x:v>
      </x:c>
      <x:c r="B50" s="44" t="str">
        <x:v>—</x:v>
      </x:c>
      <x:c r="C50" s="44" t="str">
        <x:v>—</x:v>
      </x:c>
      <x:c r="D50" s="44" t="str">
        <x:v>—</x:v>
      </x:c>
      <x:c r="E50" s="44" t="str">
        <x:v>✓</x:v>
      </x:c>
      <x:c r="F50" s="44" t="str">
        <x:v>—</x:v>
      </x:c>
      <x:c r="G50" s="44" t="str">
        <x:v>—</x:v>
      </x:c>
    </x:row>
    <x:row r="51">
      <x:c r="A51" s="20" t="str">
        <x:v>Event id=190</x:v>
      </x:c>
      <x:c r="B51" s="44" t="str">
        <x:v>—</x:v>
      </x:c>
      <x:c r="C51" s="44" t="str">
        <x:v>—</x:v>
      </x:c>
      <x:c r="D51" s="44" t="str">
        <x:v>—</x:v>
      </x:c>
      <x:c r="E51" s="44" t="str">
        <x:v>✓</x:v>
      </x:c>
      <x:c r="F51" s="44" t="str">
        <x:v>—</x:v>
      </x:c>
      <x:c r="G51" s="44" t="str">
        <x:v>—</x:v>
      </x:c>
    </x:row>
    <x:row r="52">
      <x:c r="A52" s="20" t="str">
        <x:v>Event id=216</x:v>
      </x:c>
      <x:c r="B52" s="44" t="str">
        <x:v>—</x:v>
      </x:c>
      <x:c r="C52" s="44" t="str">
        <x:v>—</x:v>
      </x:c>
      <x:c r="D52" s="44" t="str">
        <x:v>—</x:v>
      </x:c>
      <x:c r="E52" s="44" t="str">
        <x:v>✓</x:v>
      </x:c>
      <x:c r="F52" s="44" t="str">
        <x:v>—</x:v>
      </x:c>
      <x:c r="G52" s="44" t="str">
        <x:v>—</x:v>
      </x:c>
    </x:row>
    <x:row r="53">
      <x:c r="A53" s="20" t="str">
        <x:v>Event id=222</x:v>
      </x:c>
      <x:c r="B53" s="44" t="str">
        <x:v>—</x:v>
      </x:c>
      <x:c r="C53" s="44" t="str">
        <x:v>—</x:v>
      </x:c>
      <x:c r="D53" s="44" t="str">
        <x:v>—</x:v>
      </x:c>
      <x:c r="E53" s="44" t="str">
        <x:v>✓</x:v>
      </x:c>
      <x:c r="F53" s="44" t="str">
        <x:v>—</x:v>
      </x:c>
      <x:c r="G53" s="44" t="str">
        <x:v>—</x:v>
      </x:c>
    </x:row>
    <x:row r="54">
      <x:c r="A54" s="20" t="str">
        <x:v>Event id=234</x:v>
      </x:c>
      <x:c r="B54" s="44" t="str">
        <x:v>—</x:v>
      </x:c>
      <x:c r="C54" s="44" t="str">
        <x:v>—</x:v>
      </x:c>
      <x:c r="D54" s="44" t="str">
        <x:v>—</x:v>
      </x:c>
      <x:c r="E54" s="44" t="str">
        <x:v>✓</x:v>
      </x:c>
      <x:c r="F54" s="44" t="str">
        <x:v>—</x:v>
      </x:c>
      <x:c r="G54" s="44" t="str">
        <x:v>—</x:v>
      </x:c>
    </x:row>
    <x:row r="55">
      <x:c r="A55" s="20" t="str">
        <x:v>Event id=235</x:v>
      </x:c>
      <x:c r="B55" s="44" t="str">
        <x:v>—</x:v>
      </x:c>
      <x:c r="C55" s="44" t="str">
        <x:v>—</x:v>
      </x:c>
      <x:c r="D55" s="44" t="str">
        <x:v>—</x:v>
      </x:c>
      <x:c r="E55" s="44" t="str">
        <x:v>✓</x:v>
      </x:c>
      <x:c r="F55" s="44" t="str">
        <x:v>—</x:v>
      </x:c>
      <x:c r="G55" s="44" t="str">
        <x:v>—</x:v>
      </x:c>
    </x:row>
    <x:row r="56">
      <x:c r="A56" s="20" t="str">
        <x:v>Event id=237</x:v>
      </x:c>
      <x:c r="B56" s="44" t="str">
        <x:v>—</x:v>
      </x:c>
      <x:c r="C56" s="44" t="str">
        <x:v>—</x:v>
      </x:c>
      <x:c r="D56" s="44" t="str">
        <x:v>—</x:v>
      </x:c>
      <x:c r="E56" s="44" t="str">
        <x:v>✓</x:v>
      </x:c>
      <x:c r="F56" s="44" t="str">
        <x:v>—</x:v>
      </x:c>
      <x:c r="G56" s="44" t="str">
        <x:v>—</x:v>
      </x:c>
    </x:row>
    <x:row r="57">
      <x:c r="A57" s="20" t="str">
        <x:v>Event id=239</x:v>
      </x:c>
      <x:c r="B57" s="44" t="str">
        <x:v>✓</x:v>
      </x:c>
      <x:c r="C57" s="44" t="str">
        <x:v>✓</x:v>
      </x:c>
      <x:c r="D57" s="44" t="str">
        <x:v>✓</x:v>
      </x:c>
      <x:c r="E57" s="44" t="str">
        <x:v>✓</x:v>
      </x:c>
      <x:c r="F57" s="44" t="str">
        <x:v>—</x:v>
      </x:c>
      <x:c r="G57" s="44" t="str">
        <x:v>—</x:v>
      </x:c>
    </x:row>
    <x:row r="58">
      <x:c r="A58" s="20" t="str">
        <x:v>Event id=240</x:v>
      </x:c>
      <x:c r="B58" s="44" t="str">
        <x:v>—</x:v>
      </x:c>
      <x:c r="C58" s="44" t="str">
        <x:v>—</x:v>
      </x:c>
      <x:c r="D58" s="44" t="str">
        <x:v>—</x:v>
      </x:c>
      <x:c r="E58" s="44" t="str">
        <x:v>✓</x:v>
      </x:c>
      <x:c r="F58" s="44" t="str">
        <x:v>—</x:v>
      </x:c>
      <x:c r="G58" s="44" t="str">
        <x:v>—</x:v>
      </x:c>
    </x:row>
    <x:row r="59">
      <x:c r="A59" s="20" t="str">
        <x:v>Event id=241</x:v>
      </x:c>
      <x:c r="B59" s="44" t="str">
        <x:v>✓</x:v>
      </x:c>
      <x:c r="C59" s="44" t="str">
        <x:v>—</x:v>
      </x:c>
      <x:c r="D59" s="44" t="str">
        <x:v>—</x:v>
      </x:c>
      <x:c r="E59" s="44" t="str">
        <x:v>—</x:v>
      </x:c>
      <x:c r="F59" s="44" t="str">
        <x:v>—</x:v>
      </x:c>
      <x:c r="G59" s="44" t="str">
        <x:v>—</x:v>
      </x:c>
    </x:row>
    <x:row r="60">
      <x:c r="A60" s="20" t="str">
        <x:v>Event id=242</x:v>
      </x:c>
      <x:c r="B60" s="44" t="str">
        <x:v>✓</x:v>
      </x:c>
      <x:c r="C60" s="44" t="str">
        <x:v>✓</x:v>
      </x:c>
      <x:c r="D60" s="44" t="str">
        <x:v>✓</x:v>
      </x:c>
      <x:c r="E60" s="44" t="str">
        <x:v>—</x:v>
      </x:c>
      <x:c r="F60" s="44" t="str">
        <x:v>—</x:v>
      </x:c>
      <x:c r="G60" s="44" t="str">
        <x:v>—</x:v>
      </x:c>
    </x:row>
    <x:row r="61">
      <x:c r="A61" s="20" t="str">
        <x:v>Event id=243</x:v>
      </x:c>
      <x:c r="B61" s="44" t="str">
        <x:v>✓</x:v>
      </x:c>
      <x:c r="C61" s="44" t="str">
        <x:v>✓</x:v>
      </x:c>
      <x:c r="D61" s="44" t="str">
        <x:v>✓</x:v>
      </x:c>
      <x:c r="E61" s="44" t="str">
        <x:v>—</x:v>
      </x:c>
      <x:c r="F61" s="44" t="str">
        <x:v>—</x:v>
      </x:c>
      <x:c r="G61" s="44" t="str">
        <x:v>—</x:v>
      </x:c>
    </x:row>
    <x:row r="62">
      <x:c r="A62" s="20" t="str">
        <x:v>Event id=244</x:v>
      </x:c>
      <x:c r="B62" s="44" t="str">
        <x:v>✓</x:v>
      </x:c>
      <x:c r="C62" s="44" t="str">
        <x:v>✓</x:v>
      </x:c>
      <x:c r="D62" s="44" t="str">
        <x:v>✓</x:v>
      </x:c>
      <x:c r="E62" s="44" t="str">
        <x:v>✓</x:v>
      </x:c>
      <x:c r="F62" s="44" t="str">
        <x:v>✓</x:v>
      </x:c>
      <x:c r="G62" s="44" t="str">
        <x:v>—</x:v>
      </x:c>
    </x:row>
    <x:row r="63">
      <x:c r="A63" s="20" t="str">
        <x:v>Event id=245</x:v>
      </x:c>
      <x:c r="B63" s="44" t="str">
        <x:v>✓</x:v>
      </x:c>
      <x:c r="C63" s="44" t="str">
        <x:v>—</x:v>
      </x:c>
      <x:c r="D63" s="44" t="str">
        <x:v>—</x:v>
      </x:c>
      <x:c r="E63" s="44" t="str">
        <x:v>—</x:v>
      </x:c>
      <x:c r="F63" s="44" t="str">
        <x:v>—</x:v>
      </x:c>
      <x:c r="G63" s="44" t="str">
        <x:v>—</x:v>
      </x:c>
    </x:row>
    <x:row r="64">
      <x:c r="A64" s="20" t="str">
        <x:v>Event id=246</x:v>
      </x:c>
      <x:c r="B64" s="44" t="str">
        <x:v>✓</x:v>
      </x:c>
      <x:c r="C64" s="44" t="str">
        <x:v>✓</x:v>
      </x:c>
      <x:c r="D64" s="44" t="str">
        <x:v>✓</x:v>
      </x:c>
      <x:c r="E64" s="44" t="str">
        <x:v>✓</x:v>
      </x:c>
      <x:c r="F64" s="44" t="str">
        <x:v>✓</x:v>
      </x:c>
      <x:c r="G64" s="44" t="str">
        <x:v>—</x:v>
      </x:c>
    </x:row>
    <x:row r="65">
      <x:c r="A65" s="20" t="str">
        <x:v>Event id=247</x:v>
      </x:c>
      <x:c r="B65" s="44" t="str">
        <x:v>✓</x:v>
      </x:c>
      <x:c r="C65" s="44" t="str">
        <x:v>—</x:v>
      </x:c>
      <x:c r="D65" s="44" t="str">
        <x:v>—</x:v>
      </x:c>
      <x:c r="E65" s="44" t="str">
        <x:v>—</x:v>
      </x:c>
      <x:c r="F65" s="44" t="str">
        <x:v>—</x:v>
      </x:c>
      <x:c r="G65" s="44" t="str">
        <x:v>—</x:v>
      </x:c>
    </x:row>
    <x:row r="66">
      <x:c r="A66" s="20" t="str">
        <x:v>Event id=248</x:v>
      </x:c>
      <x:c r="B66" s="44" t="str">
        <x:v>✓</x:v>
      </x:c>
      <x:c r="C66" s="44" t="str">
        <x:v>—</x:v>
      </x:c>
      <x:c r="D66" s="44" t="str">
        <x:v>—</x:v>
      </x:c>
      <x:c r="E66" s="44" t="str">
        <x:v>—</x:v>
      </x:c>
      <x:c r="F66" s="44" t="str">
        <x:v>—</x:v>
      </x:c>
      <x:c r="G66" s="44" t="str">
        <x:v>—</x:v>
      </x:c>
    </x:row>
    <x:row r="67">
      <x:c r="A67" s="20" t="str">
        <x:v>Event id=249</x:v>
      </x:c>
      <x:c r="B67" s="44" t="str">
        <x:v>✓</x:v>
      </x:c>
      <x:c r="C67" s="44" t="str">
        <x:v>—</x:v>
      </x:c>
      <x:c r="D67" s="44" t="str">
        <x:v>—</x:v>
      </x:c>
      <x:c r="E67" s="44" t="str">
        <x:v>✓</x:v>
      </x:c>
      <x:c r="F67" s="44" t="str">
        <x:v>—</x:v>
      </x:c>
      <x:c r="G67" s="44" t="str">
        <x:v>—</x:v>
      </x:c>
    </x:row>
    <x:row r="68">
      <x:c r="A68" s="20" t="str">
        <x:v>Event id=250</x:v>
      </x:c>
      <x:c r="B68" s="44" t="str">
        <x:v>✓</x:v>
      </x:c>
      <x:c r="C68" s="44" t="str">
        <x:v>—</x:v>
      </x:c>
      <x:c r="D68" s="44" t="str">
        <x:v>—</x:v>
      </x:c>
      <x:c r="E68" s="44" t="str">
        <x:v>—</x:v>
      </x:c>
      <x:c r="F68" s="44" t="str">
        <x:v>—</x:v>
      </x:c>
      <x:c r="G68" s="44" t="str">
        <x:v>—</x:v>
      </x:c>
    </x:row>
    <x:row r="69">
      <x:c r="A69" s="20" t="str">
        <x:v>Event id=251</x:v>
      </x:c>
      <x:c r="B69" s="44" t="str">
        <x:v>✓</x:v>
      </x:c>
      <x:c r="C69" s="44" t="str">
        <x:v>—</x:v>
      </x:c>
      <x:c r="D69" s="44" t="str">
        <x:v>—</x:v>
      </x:c>
      <x:c r="E69" s="44" t="str">
        <x:v>—</x:v>
      </x:c>
      <x:c r="F69" s="44" t="str">
        <x:v>—</x:v>
      </x:c>
      <x:c r="G69" s="44" t="str">
        <x:v>—</x:v>
      </x:c>
    </x:row>
    <x:row r="70">
      <x:c r="A70" s="20" t="str">
        <x:v>Event id=252</x:v>
      </x:c>
      <x:c r="B70" s="44" t="str">
        <x:v>✓</x:v>
      </x:c>
      <x:c r="C70" s="44" t="str">
        <x:v>—</x:v>
      </x:c>
      <x:c r="D70" s="44" t="str">
        <x:v>—</x:v>
      </x:c>
      <x:c r="E70" s="44" t="str">
        <x:v>—</x:v>
      </x:c>
      <x:c r="F70" s="44" t="str">
        <x:v>—</x:v>
      </x:c>
      <x:c r="G70" s="44" t="str">
        <x:v>—</x:v>
      </x:c>
    </x:row>
    <x:row r="71">
      <x:c r="A71" s="20" t="str">
        <x:v>Event id=253</x:v>
      </x:c>
      <x:c r="B71" s="44" t="str">
        <x:v>✓</x:v>
      </x:c>
      <x:c r="C71" s="44" t="str">
        <x:v>—</x:v>
      </x:c>
      <x:c r="D71" s="44" t="str">
        <x:v>—</x:v>
      </x:c>
      <x:c r="E71" s="44" t="str">
        <x:v>—</x:v>
      </x:c>
      <x:c r="F71" s="44" t="str">
        <x:v>—</x:v>
      </x:c>
      <x:c r="G71" s="44" t="str">
        <x:v>—</x:v>
      </x:c>
    </x:row>
    <x:row r="72">
      <x:c r="A72" s="20" t="str">
        <x:v>Event id=254</x:v>
      </x:c>
      <x:c r="B72" s="44" t="str">
        <x:v>✓</x:v>
      </x:c>
      <x:c r="C72" s="44" t="str">
        <x:v>—</x:v>
      </x:c>
      <x:c r="D72" s="44" t="str">
        <x:v>✓</x:v>
      </x:c>
      <x:c r="E72" s="44" t="str">
        <x:v>✓</x:v>
      </x:c>
      <x:c r="F72" s="44" t="str">
        <x:v>—</x:v>
      </x:c>
      <x:c r="G72" s="44" t="str">
        <x:v>—</x:v>
      </x:c>
    </x:row>
    <x:row r="73">
      <x:c r="A73" s="20" t="str">
        <x:v>Event id=255</x:v>
      </x:c>
      <x:c r="B73" s="44" t="str">
        <x:v>✓</x:v>
      </x:c>
      <x:c r="C73" s="44" t="str">
        <x:v>✓</x:v>
      </x:c>
      <x:c r="D73" s="44" t="str">
        <x:v>✓</x:v>
      </x:c>
      <x:c r="E73" s="44" t="str">
        <x:v>✓</x:v>
      </x:c>
      <x:c r="F73" s="44" t="str">
        <x:v>—</x:v>
      </x:c>
      <x:c r="G73" s="44" t="str">
        <x:v>—</x:v>
      </x:c>
    </x:row>
    <x:row r="74">
      <x:c r="A74" s="20" t="str">
        <x:v>Event id=256</x:v>
      </x:c>
      <x:c r="B74" s="44" t="str">
        <x:v>✓</x:v>
      </x:c>
      <x:c r="C74" s="44" t="str">
        <x:v>✓</x:v>
      </x:c>
      <x:c r="D74" s="44" t="str">
        <x:v>✓</x:v>
      </x:c>
      <x:c r="E74" s="44" t="str">
        <x:v>—</x:v>
      </x:c>
      <x:c r="F74" s="44" t="str">
        <x:v>—</x:v>
      </x:c>
      <x:c r="G74" s="44" t="str">
        <x:v>—</x:v>
      </x:c>
    </x:row>
    <x:row r="75">
      <x:c r="A75" s="20" t="str">
        <x:v>Event id=257</x:v>
      </x:c>
      <x:c r="B75" s="44" t="str">
        <x:v>✓</x:v>
      </x:c>
      <x:c r="C75" s="44" t="str">
        <x:v>✓</x:v>
      </x:c>
      <x:c r="D75" s="44" t="str">
        <x:v>✓</x:v>
      </x:c>
      <x:c r="E75" s="44" t="str">
        <x:v>Implicite</x:v>
      </x:c>
      <x:c r="F75" s="44" t="str">
        <x:v>✓</x:v>
      </x:c>
      <x:c r="G75" s="44" t="str">
        <x:v>—</x:v>
      </x:c>
    </x:row>
    <x:row r="76">
      <x:c r="A76" s="20" t="str">
        <x:v>Event id=258</x:v>
      </x:c>
      <x:c r="B76" s="44" t="str">
        <x:v>✓</x:v>
      </x:c>
      <x:c r="C76" s="44" t="str">
        <x:v>✓</x:v>
      </x:c>
      <x:c r="D76" s="44" t="str">
        <x:v>✓</x:v>
      </x:c>
      <x:c r="E76" s="44" t="str">
        <x:v>Implicite</x:v>
      </x:c>
      <x:c r="F76" s="44" t="str">
        <x:v>✓</x:v>
      </x:c>
      <x:c r="G76" s="44" t="str">
        <x:v>—</x:v>
      </x:c>
    </x:row>
    <x:row r="77">
      <x:c r="A77" s="20" t="str">
        <x:v>Event id=259</x:v>
      </x:c>
      <x:c r="B77" s="44" t="str">
        <x:v>✓</x:v>
      </x:c>
      <x:c r="C77" s="44" t="str">
        <x:v>✓</x:v>
      </x:c>
      <x:c r="D77" s="44" t="str">
        <x:v>✓</x:v>
      </x:c>
      <x:c r="E77" s="44" t="str">
        <x:v>✓</x:v>
      </x:c>
      <x:c r="F77" s="44" t="str">
        <x:v>✓</x:v>
      </x:c>
      <x:c r="G77" s="44" t="str">
        <x:v>—</x:v>
      </x:c>
    </x:row>
    <x:row r="78">
      <x:c r="A78" s="20" t="str">
        <x:v>Event id=260</x:v>
      </x:c>
      <x:c r="B78" s="44" t="str">
        <x:v>✓</x:v>
      </x:c>
      <x:c r="C78" s="44" t="str">
        <x:v>✓</x:v>
      </x:c>
      <x:c r="D78" s="44" t="str">
        <x:v>✓</x:v>
      </x:c>
      <x:c r="E78" s="44" t="str">
        <x:v>Implicite</x:v>
      </x:c>
      <x:c r="F78" s="44" t="str">
        <x:v>✓</x:v>
      </x:c>
      <x:c r="G78" s="44" t="str">
        <x:v>—</x:v>
      </x:c>
    </x:row>
    <x:row r="79">
      <x:c r="A79" s="20" t="str">
        <x:v>Event id=261</x:v>
      </x:c>
      <x:c r="B79" s="44" t="str">
        <x:v>✓</x:v>
      </x:c>
      <x:c r="C79" s="44" t="str">
        <x:v>—</x:v>
      </x:c>
      <x:c r="D79" s="44" t="str">
        <x:v>✓</x:v>
      </x:c>
      <x:c r="E79" s="44" t="str">
        <x:v>✓</x:v>
      </x:c>
      <x:c r="F79" s="44" t="str">
        <x:v>—</x:v>
      </x:c>
      <x:c r="G79" s="44" t="str">
        <x:v>—</x:v>
      </x:c>
    </x:row>
    <x:row r="80">
      <x:c r="A80" s="20" t="str">
        <x:v>Event id=262</x:v>
      </x:c>
      <x:c r="B80" s="44" t="str">
        <x:v>✓</x:v>
      </x:c>
      <x:c r="C80" s="44" t="str">
        <x:v>✓</x:v>
      </x:c>
      <x:c r="D80" s="44" t="str">
        <x:v>✓</x:v>
      </x:c>
      <x:c r="E80" s="44" t="str">
        <x:v>—</x:v>
      </x:c>
      <x:c r="F80" s="44" t="str">
        <x:v>—</x:v>
      </x:c>
      <x:c r="G80" s="44" t="str">
        <x:v>—</x:v>
      </x:c>
    </x:row>
    <x:row r="81">
      <x:c r="A81" s="20" t="str">
        <x:v>Event id=263</x:v>
      </x:c>
      <x:c r="B81" s="44" t="str">
        <x:v>✓</x:v>
      </x:c>
      <x:c r="C81" s="44" t="str">
        <x:v>✓</x:v>
      </x:c>
      <x:c r="D81" s="44" t="str">
        <x:v>✓</x:v>
      </x:c>
      <x:c r="E81" s="44" t="str">
        <x:v>✓</x:v>
      </x:c>
      <x:c r="F81" s="44" t="str">
        <x:v>—</x:v>
      </x:c>
      <x:c r="G81" s="44" t="str">
        <x:v>—</x:v>
      </x:c>
    </x:row>
    <x:row r="82">
      <x:c r="A82" s="20" t="str">
        <x:v>Event id=264</x:v>
      </x:c>
      <x:c r="B82" s="44" t="str">
        <x:v>✓</x:v>
      </x:c>
      <x:c r="C82" s="44" t="str">
        <x:v>—</x:v>
      </x:c>
      <x:c r="D82" s="44" t="str">
        <x:v>—</x:v>
      </x:c>
      <x:c r="E82" s="44" t="str">
        <x:v>—</x:v>
      </x:c>
      <x:c r="F82" s="44" t="str">
        <x:v>—</x:v>
      </x:c>
      <x:c r="G82" s="44" t="str">
        <x:v>—</x:v>
      </x:c>
    </x:row>
    <x:row r="83">
      <x:c r="A83" s="20" t="str">
        <x:v>Event id=265</x:v>
      </x:c>
      <x:c r="B83" s="44" t="str">
        <x:v>✓</x:v>
      </x:c>
      <x:c r="C83" s="44" t="str">
        <x:v>—</x:v>
      </x:c>
      <x:c r="D83" s="44" t="str">
        <x:v>—</x:v>
      </x:c>
      <x:c r="E83" s="44" t="str">
        <x:v>—</x:v>
      </x:c>
      <x:c r="F83" s="44" t="str">
        <x:v>—</x:v>
      </x:c>
      <x:c r="G83" s="44" t="str">
        <x:v>—</x:v>
      </x:c>
    </x:row>
    <x:row r="84">
      <x:c r="A84" s="20" t="str">
        <x:v>Event id=266</x:v>
      </x:c>
      <x:c r="B84" s="44" t="str">
        <x:v>✓</x:v>
      </x:c>
      <x:c r="C84" s="44" t="str">
        <x:v>—</x:v>
      </x:c>
      <x:c r="D84" s="44" t="str">
        <x:v>—</x:v>
      </x:c>
      <x:c r="E84" s="44" t="str">
        <x:v>✓</x:v>
      </x:c>
      <x:c r="F84" s="44" t="str">
        <x:v>—</x:v>
      </x:c>
      <x:c r="G84" s="44" t="str">
        <x:v>—</x:v>
      </x:c>
    </x:row>
    <x:row r="85">
      <x:c r="A85" s="20" t="str">
        <x:v>Event id=267</x:v>
      </x:c>
      <x:c r="B85" s="44" t="str">
        <x:v>✓</x:v>
      </x:c>
      <x:c r="C85" s="44" t="str">
        <x:v>✓</x:v>
      </x:c>
      <x:c r="D85" s="44" t="str">
        <x:v>✓</x:v>
      </x:c>
      <x:c r="E85" s="44" t="str">
        <x:v>Implicite</x:v>
      </x:c>
      <x:c r="F85" s="44" t="str">
        <x:v>✓</x:v>
      </x:c>
      <x:c r="G85" s="44" t="str">
        <x:v>—</x:v>
      </x:c>
    </x:row>
    <x:row r="86">
      <x:c r="A86" s="20" t="str">
        <x:v>Event id=268</x:v>
      </x:c>
      <x:c r="B86" s="44" t="str">
        <x:v>—</x:v>
      </x:c>
      <x:c r="C86" s="44" t="str">
        <x:v>—</x:v>
      </x:c>
      <x:c r="D86" s="44" t="str">
        <x:v>—</x:v>
      </x:c>
      <x:c r="E86" s="44" t="str">
        <x:v>✓</x:v>
      </x:c>
      <x:c r="F86" s="44" t="str">
        <x:v>—</x:v>
      </x:c>
      <x:c r="G86" s="44" t="str">
        <x:v>—</x:v>
      </x:c>
    </x:row>
    <x:row r="87">
      <x:c r="A87" s="20" t="str">
        <x:v>Event id=284</x:v>
      </x:c>
      <x:c r="B87" s="44" t="str">
        <x:v>—</x:v>
      </x:c>
      <x:c r="C87" s="44" t="str">
        <x:v>—</x:v>
      </x:c>
      <x:c r="D87" s="44" t="str">
        <x:v>—</x:v>
      </x:c>
      <x:c r="E87" s="44" t="str">
        <x:v>✓</x:v>
      </x:c>
      <x:c r="F87" s="44" t="str">
        <x:v>—</x:v>
      </x:c>
      <x:c r="G87" s="44" t="str">
        <x:v>—</x:v>
      </x:c>
    </x:row>
    <x:row r="88">
      <x:c r="A88" s="20" t="str">
        <x:v>Event id=288</x:v>
      </x:c>
      <x:c r="B88" s="44" t="str">
        <x:v>—</x:v>
      </x:c>
      <x:c r="C88" s="44" t="str">
        <x:v>—</x:v>
      </x:c>
      <x:c r="D88" s="44" t="str">
        <x:v>—</x:v>
      </x:c>
      <x:c r="E88" s="44" t="str">
        <x:v>✓</x:v>
      </x:c>
      <x:c r="F88" s="44" t="str">
        <x:v>—</x:v>
      </x:c>
      <x:c r="G88" s="44" t="str">
        <x:v>—</x:v>
      </x:c>
    </x:row>
    <x:row r="89">
      <x:c r="A89" s="20" t="str">
        <x:v>Event id=291</x:v>
      </x:c>
      <x:c r="B89" s="44" t="str">
        <x:v>—</x:v>
      </x:c>
      <x:c r="C89" s="44" t="str">
        <x:v>—</x:v>
      </x:c>
      <x:c r="D89" s="44" t="str">
        <x:v>—</x:v>
      </x:c>
      <x:c r="E89" s="44" t="str">
        <x:v>✓</x:v>
      </x:c>
      <x:c r="F89" s="44" t="str">
        <x:v>—</x:v>
      </x:c>
      <x:c r="G89" s="44" t="str">
        <x:v>—</x:v>
      </x:c>
    </x:row>
    <x:row r="90">
      <x:c r="A90" s="20" t="str">
        <x:v>Event id=304</x:v>
      </x:c>
      <x:c r="B90" s="44" t="str">
        <x:v>—</x:v>
      </x:c>
      <x:c r="C90" s="44" t="str">
        <x:v>—</x:v>
      </x:c>
      <x:c r="D90" s="44" t="str">
        <x:v>—</x:v>
      </x:c>
      <x:c r="E90" s="44" t="str">
        <x:v>✓</x:v>
      </x:c>
      <x:c r="F90" s="44" t="str">
        <x:v>—</x:v>
      </x:c>
      <x:c r="G90" s="44" t="str">
        <x:v>—</x:v>
      </x:c>
    </x:row>
    <x:row r="91">
      <x:c r="A91" s="20" t="str">
        <x:v>Event id=305</x:v>
      </x:c>
      <x:c r="B91" s="44" t="str">
        <x:v>—</x:v>
      </x:c>
      <x:c r="C91" s="44" t="str">
        <x:v>—</x:v>
      </x:c>
      <x:c r="D91" s="44" t="str">
        <x:v>—</x:v>
      </x:c>
      <x:c r="E91" s="44" t="str">
        <x:v>✓</x:v>
      </x:c>
      <x:c r="F91" s="44" t="str">
        <x:v>—</x:v>
      </x:c>
      <x:c r="G91" s="44" t="str">
        <x:v>—</x:v>
      </x:c>
    </x:row>
    <x:row r="92">
      <x:c r="A92" s="20" t="str">
        <x:v>Event id=312</x:v>
      </x:c>
      <x:c r="B92" s="44" t="str">
        <x:v>✓</x:v>
      </x:c>
      <x:c r="C92" s="44" t="str">
        <x:v>✓</x:v>
      </x:c>
      <x:c r="D92" s="44" t="str">
        <x:v>✓</x:v>
      </x:c>
      <x:c r="E92" s="44" t="str">
        <x:v>Implicite</x:v>
      </x:c>
      <x:c r="F92" s="44" t="str">
        <x:v>✓</x:v>
      </x:c>
      <x:c r="G92" s="44" t="str">
        <x:v>—</x:v>
      </x:c>
    </x:row>
    <x:row r="93">
      <x:c r="A93" s="20" t="str">
        <x:v>Event id=313</x:v>
      </x:c>
      <x:c r="B93" s="44" t="str">
        <x:v>✓</x:v>
      </x:c>
      <x:c r="C93" s="44" t="str">
        <x:v>✓</x:v>
      </x:c>
      <x:c r="D93" s="44" t="str">
        <x:v>✓</x:v>
      </x:c>
      <x:c r="E93" s="44" t="str">
        <x:v>Implicite</x:v>
      </x:c>
      <x:c r="F93" s="44" t="str">
        <x:v>✓</x:v>
      </x:c>
      <x:c r="G93" s="44" t="str">
        <x:v>—</x:v>
      </x:c>
    </x:row>
    <x:row r="94">
      <x:c r="A94" s="20" t="str">
        <x:v>Event id=314</x:v>
      </x:c>
      <x:c r="B94" s="44" t="str">
        <x:v>✓</x:v>
      </x:c>
      <x:c r="C94" s="44" t="str">
        <x:v>✓</x:v>
      </x:c>
      <x:c r="D94" s="44" t="str">
        <x:v>✓</x:v>
      </x:c>
      <x:c r="E94" s="44" t="str">
        <x:v>Implicite</x:v>
      </x:c>
      <x:c r="F94" s="44" t="str">
        <x:v>✓</x:v>
      </x:c>
      <x:c r="G94" s="44" t="str">
        <x:v>—</x:v>
      </x:c>
    </x:row>
    <x:row r="95">
      <x:c r="A95" s="20" t="str">
        <x:v>Event id=315</x:v>
      </x:c>
      <x:c r="B95" s="44" t="str">
        <x:v>✓</x:v>
      </x:c>
      <x:c r="C95" s="44" t="str">
        <x:v>✓</x:v>
      </x:c>
      <x:c r="D95" s="44" t="str">
        <x:v>✓</x:v>
      </x:c>
      <x:c r="E95" s="44" t="str">
        <x:v>Implicite</x:v>
      </x:c>
      <x:c r="F95" s="44" t="str">
        <x:v>✓</x:v>
      </x:c>
      <x:c r="G95" s="44" t="str">
        <x:v>—</x:v>
      </x:c>
    </x:row>
    <x:row r="96">
      <x:c r="A96" s="20" t="str">
        <x:v>Event id=316</x:v>
      </x:c>
      <x:c r="B96" s="44" t="str">
        <x:v>✓</x:v>
      </x:c>
      <x:c r="C96" s="44" t="str">
        <x:v>✓</x:v>
      </x:c>
      <x:c r="D96" s="44" t="str">
        <x:v>✓</x:v>
      </x:c>
      <x:c r="E96" s="44" t="str">
        <x:v>✓</x:v>
      </x:c>
      <x:c r="F96" s="44" t="str">
        <x:v>✓</x:v>
      </x:c>
      <x:c r="G96" s="44" t="str">
        <x:v>—</x:v>
      </x:c>
    </x:row>
    <x:row r="97">
      <x:c r="A97" s="20" t="str">
        <x:v>Event id=317</x:v>
      </x:c>
      <x:c r="B97" s="44" t="str">
        <x:v>✓</x:v>
      </x:c>
      <x:c r="C97" s="44" t="str">
        <x:v>✓</x:v>
      </x:c>
      <x:c r="D97" s="44" t="str">
        <x:v>✓</x:v>
      </x:c>
      <x:c r="E97" s="44" t="str">
        <x:v>✓</x:v>
      </x:c>
      <x:c r="F97" s="44" t="str">
        <x:v>✓</x:v>
      </x:c>
      <x:c r="G97" s="44" t="str">
        <x:v>—</x:v>
      </x:c>
    </x:row>
    <x:row r="98">
      <x:c r="A98" s="20" t="str">
        <x:v>Event id=318</x:v>
      </x:c>
      <x:c r="B98" s="44" t="str">
        <x:v>✓</x:v>
      </x:c>
      <x:c r="C98" s="44" t="str">
        <x:v>✓</x:v>
      </x:c>
      <x:c r="D98" s="44" t="str">
        <x:v>✓</x:v>
      </x:c>
      <x:c r="E98" s="44" t="str">
        <x:v>✓</x:v>
      </x:c>
      <x:c r="F98" s="44" t="str">
        <x:v>✓</x:v>
      </x:c>
      <x:c r="G98" s="44" t="str">
        <x:v>—</x:v>
      </x:c>
    </x:row>
    <x:row r="99">
      <x:c r="A99" s="20" t="str">
        <x:v>Event id=319</x:v>
      </x:c>
      <x:c r="B99" s="44" t="str">
        <x:v>✓</x:v>
      </x:c>
      <x:c r="C99" s="44" t="str">
        <x:v>✓</x:v>
      </x:c>
      <x:c r="D99" s="44" t="str">
        <x:v>✓</x:v>
      </x:c>
      <x:c r="E99" s="44" t="str">
        <x:v>✓</x:v>
      </x:c>
      <x:c r="F99" s="44" t="str">
        <x:v>✓</x:v>
      </x:c>
      <x:c r="G99" s="44" t="str">
        <x:v>—</x:v>
      </x:c>
    </x:row>
    <x:row r="100">
      <x:c r="A100" s="20" t="str">
        <x:v>Event id=320</x:v>
      </x:c>
      <x:c r="B100" s="44" t="str">
        <x:v>✓</x:v>
      </x:c>
      <x:c r="C100" s="44" t="str">
        <x:v>✓</x:v>
      </x:c>
      <x:c r="D100" s="44" t="str">
        <x:v>✓</x:v>
      </x:c>
      <x:c r="E100" s="44" t="str">
        <x:v>✓</x:v>
      </x:c>
      <x:c r="F100" s="44" t="str">
        <x:v>—</x:v>
      </x:c>
      <x:c r="G100" s="44" t="str">
        <x:v>—</x:v>
      </x:c>
    </x:row>
    <x:row r="101">
      <x:c r="A101" s="20" t="str">
        <x:v>Event id=321</x:v>
      </x:c>
      <x:c r="B101" s="44" t="str">
        <x:v>—</x:v>
      </x:c>
      <x:c r="C101" s="44" t="str">
        <x:v>—</x:v>
      </x:c>
      <x:c r="D101" s="44" t="str">
        <x:v>—</x:v>
      </x:c>
      <x:c r="E101" s="44" t="str">
        <x:v>✓</x:v>
      </x:c>
      <x:c r="F101" s="44" t="str">
        <x:v>—</x:v>
      </x:c>
      <x:c r="G101" s="44" t="str">
        <x:v>—</x:v>
      </x:c>
    </x:row>
    <x:row r="102">
      <x:c r="A102" s="20" t="str">
        <x:v>Event id=322</x:v>
      </x:c>
      <x:c r="B102" s="44" t="str">
        <x:v>—</x:v>
      </x:c>
      <x:c r="C102" s="44" t="str">
        <x:v>—</x:v>
      </x:c>
      <x:c r="D102" s="44" t="str">
        <x:v>—</x:v>
      </x:c>
      <x:c r="E102" s="44" t="str">
        <x:v>✓</x:v>
      </x:c>
      <x:c r="F102" s="44" t="str">
        <x:v>—</x:v>
      </x:c>
      <x:c r="G102" s="44" t="str">
        <x:v>—</x:v>
      </x:c>
    </x:row>
    <x:row r="103">
      <x:c r="A103" s="20" t="str">
        <x:v>Event id=323</x:v>
      </x:c>
      <x:c r="B103" s="44" t="str">
        <x:v>—</x:v>
      </x:c>
      <x:c r="C103" s="44" t="str">
        <x:v>—</x:v>
      </x:c>
      <x:c r="D103" s="44" t="str">
        <x:v>—</x:v>
      </x:c>
      <x:c r="E103" s="44" t="str">
        <x:v>✓</x:v>
      </x:c>
      <x:c r="F103" s="44" t="str">
        <x:v>—</x:v>
      </x:c>
      <x:c r="G103" s="44" t="str">
        <x:v>—</x:v>
      </x:c>
    </x:row>
    <x:row r="104">
      <x:c r="A104" s="20" t="str">
        <x:v>Event id=324</x:v>
      </x:c>
      <x:c r="B104" s="44" t="str">
        <x:v>—</x:v>
      </x:c>
      <x:c r="C104" s="44" t="str">
        <x:v>—</x:v>
      </x:c>
      <x:c r="D104" s="44" t="str">
        <x:v>—</x:v>
      </x:c>
      <x:c r="E104" s="44" t="str">
        <x:v>✓</x:v>
      </x:c>
      <x:c r="F104" s="44" t="str">
        <x:v>—</x:v>
      </x:c>
      <x:c r="G104" s="44" t="str">
        <x:v>—</x:v>
      </x:c>
    </x:row>
    <x:row r="105">
      <x:c r="A105" s="20" t="str">
        <x:v>Event id=325</x:v>
      </x:c>
      <x:c r="B105" s="44" t="str">
        <x:v>—</x:v>
      </x:c>
      <x:c r="C105" s="44" t="str">
        <x:v>—</x:v>
      </x:c>
      <x:c r="D105" s="44" t="str">
        <x:v>—</x:v>
      </x:c>
      <x:c r="E105" s="44" t="str">
        <x:v>✓</x:v>
      </x:c>
      <x:c r="F105" s="44" t="str">
        <x:v>—</x:v>
      </x:c>
      <x:c r="G105" s="44" t="str">
        <x:v>—</x:v>
      </x:c>
    </x:row>
    <x:row r="106">
      <x:c r="A106" s="20" t="str">
        <x:v>Event id=326</x:v>
      </x:c>
      <x:c r="B106" s="44" t="str">
        <x:v>—</x:v>
      </x:c>
      <x:c r="C106" s="44" t="str">
        <x:v>—</x:v>
      </x:c>
      <x:c r="D106" s="44" t="str">
        <x:v>—</x:v>
      </x:c>
      <x:c r="E106" s="44" t="str">
        <x:v>✓</x:v>
      </x:c>
      <x:c r="F106" s="44" t="str">
        <x:v>—</x:v>
      </x:c>
      <x:c r="G106" s="44" t="str">
        <x:v>—</x:v>
      </x:c>
    </x:row>
    <x:row r="107">
      <x:c r="A107" s="20" t="str">
        <x:v>Event id=327</x:v>
      </x:c>
      <x:c r="B107" s="44" t="str">
        <x:v>—</x:v>
      </x:c>
      <x:c r="C107" s="44" t="str">
        <x:v>—</x:v>
      </x:c>
      <x:c r="D107" s="44" t="str">
        <x:v>—</x:v>
      </x:c>
      <x:c r="E107" s="44" t="str">
        <x:v>✓</x:v>
      </x:c>
      <x:c r="F107" s="44" t="str">
        <x:v>—</x:v>
      </x:c>
      <x:c r="G107" s="44" t="str">
        <x:v>—</x:v>
      </x:c>
    </x:row>
    <x:row r="108">
      <x:c r="A108" s="20" t="str">
        <x:v>Email id=1</x:v>
      </x:c>
      <x:c r="B108" s="44" t="str">
        <x:v>✓</x:v>
      </x:c>
      <x:c r="C108" s="44" t="str">
        <x:v>—</x:v>
      </x:c>
      <x:c r="D108" s="44" t="str">
        <x:v>✓</x:v>
      </x:c>
      <x:c r="E108" s="44" t="str">
        <x:v>—</x:v>
      </x:c>
      <x:c r="F108" s="44" t="str">
        <x:v>—</x:v>
      </x:c>
      <x:c r="G108" s="44" t="str">
        <x:v>—</x:v>
      </x:c>
    </x:row>
    <x:row r="109">
      <x:c r="A109" s="20" t="str">
        <x:v>Email id=32</x:v>
      </x:c>
      <x:c r="B109" s="44" t="str">
        <x:v>✓</x:v>
      </x:c>
      <x:c r="C109" s="44" t="str">
        <x:v>✓</x:v>
      </x:c>
      <x:c r="D109" s="44" t="str">
        <x:v>✓</x:v>
      </x:c>
      <x:c r="E109" s="44" t="str">
        <x:v>—</x:v>
      </x:c>
      <x:c r="F109" s="44" t="str">
        <x:v>—</x:v>
      </x:c>
      <x:c r="G109" s="44" t="str">
        <x:v>—</x:v>
      </x:c>
    </x:row>
    <x:row r="110">
      <x:c r="A110" s="20" t="str">
        <x:v>Email id=33</x:v>
      </x:c>
      <x:c r="B110" s="44" t="str">
        <x:v>✓</x:v>
      </x:c>
      <x:c r="C110" s="44" t="str">
        <x:v>✓</x:v>
      </x:c>
      <x:c r="D110" s="44" t="str">
        <x:v>✓</x:v>
      </x:c>
      <x:c r="E110" s="44" t="str">
        <x:v>—</x:v>
      </x:c>
      <x:c r="F110" s="44" t="str">
        <x:v>—</x:v>
      </x:c>
      <x:c r="G110" s="44" t="str">
        <x:v>—</x:v>
      </x:c>
    </x:row>
    <x:row r="111">
      <x:c r="A111" s="20" t="str">
        <x:v>Email id=34</x:v>
      </x:c>
      <x:c r="B111" s="44" t="str">
        <x:v>✓</x:v>
      </x:c>
      <x:c r="C111" s="44" t="str">
        <x:v>—</x:v>
      </x:c>
      <x:c r="D111" s="44" t="str">
        <x:v>—</x:v>
      </x:c>
      <x:c r="E111" s="44" t="str">
        <x:v>Implicite</x:v>
      </x:c>
      <x:c r="F111" s="44" t="str">
        <x:v>✓</x:v>
      </x:c>
      <x:c r="G111" s="44" t="str">
        <x:v>—</x:v>
      </x:c>
    </x:row>
    <x:row r="112">
      <x:c r="A112" s="20" t="str">
        <x:v>Email id=35</x:v>
      </x:c>
      <x:c r="B112" s="44" t="str">
        <x:v>✓</x:v>
      </x:c>
      <x:c r="C112" s="44" t="str">
        <x:v>✓</x:v>
      </x:c>
      <x:c r="D112" s="44" t="str">
        <x:v>✓</x:v>
      </x:c>
      <x:c r="E112" s="44" t="str">
        <x:v>Implicite</x:v>
      </x:c>
      <x:c r="F112" s="44" t="str">
        <x:v>✓</x:v>
      </x:c>
      <x:c r="G112" s="44" t="str">
        <x:v>—</x:v>
      </x:c>
    </x:row>
    <x:row r="113">
      <x:c r="A113" s="20" t="str">
        <x:v>Email id=37</x:v>
      </x:c>
      <x:c r="B113" s="44" t="str">
        <x:v>✓</x:v>
      </x:c>
      <x:c r="C113" s="44" t="str">
        <x:v>—</x:v>
      </x:c>
      <x:c r="D113" s="44" t="str">
        <x:v>—</x:v>
      </x:c>
      <x:c r="E113" s="44" t="str">
        <x:v>—</x:v>
      </x:c>
      <x:c r="F113" s="44" t="str">
        <x:v>—</x:v>
      </x:c>
      <x:c r="G113" s="44" t="str">
        <x:v>—</x:v>
      </x:c>
    </x:row>
    <x:row r="114">
      <x:c r="A114" s="20" t="str">
        <x:v>Email id=38</x:v>
      </x:c>
      <x:c r="B114" s="44" t="str">
        <x:v>✓</x:v>
      </x:c>
      <x:c r="C114" s="44" t="str">
        <x:v>—</x:v>
      </x:c>
      <x:c r="D114" s="44" t="str">
        <x:v>—</x:v>
      </x:c>
      <x:c r="E114" s="44" t="str">
        <x:v>—</x:v>
      </x:c>
      <x:c r="F114" s="44" t="str">
        <x:v>—</x:v>
      </x:c>
      <x:c r="G114" s="44" t="str">
        <x:v>—</x:v>
      </x:c>
    </x:row>
    <x:row r="115">
      <x:c r="A115" s="20" t="str">
        <x:v>Email id=39</x:v>
      </x:c>
      <x:c r="B115" s="44" t="str">
        <x:v>✓</x:v>
      </x:c>
      <x:c r="C115" s="44" t="str">
        <x:v>✓</x:v>
      </x:c>
      <x:c r="D115" s="44" t="str">
        <x:v>✓</x:v>
      </x:c>
      <x:c r="E115" s="44" t="str">
        <x:v>—</x:v>
      </x:c>
      <x:c r="F115" s="44" t="str">
        <x:v>—</x:v>
      </x:c>
      <x:c r="G115" s="44" t="str">
        <x:v>—</x:v>
      </x:c>
    </x:row>
    <x:row r="116">
      <x:c r="A116" s="20" t="str">
        <x:v>Email id=40</x:v>
      </x:c>
      <x:c r="B116" s="44" t="str">
        <x:v>✓</x:v>
      </x:c>
      <x:c r="C116" s="44" t="str">
        <x:v>—</x:v>
      </x:c>
      <x:c r="D116" s="44" t="str">
        <x:v>—</x:v>
      </x:c>
      <x:c r="E116" s="44" t="str">
        <x:v>—</x:v>
      </x:c>
      <x:c r="F116" s="44" t="str">
        <x:v>—</x:v>
      </x:c>
      <x:c r="G116" s="44" t="str">
        <x:v>—</x:v>
      </x:c>
    </x:row>
    <x:row r="117">
      <x:c r="A117" s="20" t="str">
        <x:v>Email id=49</x:v>
      </x:c>
      <x:c r="B117" s="44" t="str">
        <x:v>—</x:v>
      </x:c>
      <x:c r="C117" s="44" t="str">
        <x:v>—</x:v>
      </x:c>
      <x:c r="D117" s="44" t="str">
        <x:v>—</x:v>
      </x:c>
      <x:c r="E117" s="44" t="str">
        <x:v>✓</x:v>
      </x:c>
      <x:c r="F117" s="44" t="str">
        <x:v>—</x:v>
      </x:c>
      <x:c r="G117" s="44" t="str">
        <x:v>—</x:v>
      </x:c>
    </x:row>
    <x:row r="118">
      <x:c r="A118" s="20" t="str">
        <x:v>Email id=79</x:v>
      </x:c>
      <x:c r="B118" s="44" t="str">
        <x:v>—</x:v>
      </x:c>
      <x:c r="C118" s="44" t="str">
        <x:v>—</x:v>
      </x:c>
      <x:c r="D118" s="44" t="str">
        <x:v>—</x:v>
      </x:c>
      <x:c r="E118" s="44" t="str">
        <x:v>✓</x:v>
      </x:c>
      <x:c r="F118" s="44" t="str">
        <x:v>—</x:v>
      </x:c>
      <x:c r="G118" s="44" t="str">
        <x:v>—</x:v>
      </x:c>
    </x:row>
    <x:row r="119">
      <x:c r="A119" s="20" t="str">
        <x:v>Email id=136</x:v>
      </x:c>
      <x:c r="B119" s="44" t="str">
        <x:v>✓</x:v>
      </x:c>
      <x:c r="C119" s="44" t="str">
        <x:v>✓</x:v>
      </x:c>
      <x:c r="D119" s="44" t="str">
        <x:v>✓</x:v>
      </x:c>
      <x:c r="E119" s="44" t="str">
        <x:v>Implicite</x:v>
      </x:c>
      <x:c r="F119" s="44" t="str">
        <x:v>✓</x:v>
      </x:c>
      <x:c r="G119" s="44" t="str">
        <x:v>—</x:v>
      </x:c>
    </x:row>
    <x:row r="120">
      <x:c r="A120" s="20" t="str">
        <x:v>Email id=137</x:v>
      </x:c>
      <x:c r="B120" s="44" t="str">
        <x:v>✓</x:v>
      </x:c>
      <x:c r="C120" s="44" t="str">
        <x:v>✓</x:v>
      </x:c>
      <x:c r="D120" s="44" t="str">
        <x:v>✓</x:v>
      </x:c>
      <x:c r="E120" s="44" t="str">
        <x:v>Implicite</x:v>
      </x:c>
      <x:c r="F120" s="44" t="str">
        <x:v>✓</x:v>
      </x:c>
      <x:c r="G120" s="44" t="str">
        <x:v>—</x:v>
      </x:c>
    </x:row>
    <x:row r="121">
      <x:c r="A121" s="20" t="str">
        <x:v>Email id=350</x:v>
      </x:c>
      <x:c r="B121" s="44" t="str">
        <x:v>✓</x:v>
      </x:c>
      <x:c r="C121" s="44" t="str">
        <x:v>✓</x:v>
      </x:c>
      <x:c r="D121" s="44" t="str">
        <x:v>✓</x:v>
      </x:c>
      <x:c r="E121" s="44" t="str">
        <x:v>—</x:v>
      </x:c>
      <x:c r="F121" s="44" t="str">
        <x:v>—</x:v>
      </x:c>
      <x:c r="G121" s="44" t="str">
        <x:v>—</x:v>
      </x:c>
    </x:row>
    <x:row r="122">
      <x:c r="A122" s="20" t="str">
        <x:v>Email id=351</x:v>
      </x:c>
      <x:c r="B122" s="44" t="str">
        <x:v>✓</x:v>
      </x:c>
      <x:c r="C122" s="44" t="str">
        <x:v>✓</x:v>
      </x:c>
      <x:c r="D122" s="44" t="str">
        <x:v>✓</x:v>
      </x:c>
      <x:c r="E122" s="44" t="str">
        <x:v>—</x:v>
      </x:c>
      <x:c r="F122" s="44" t="str">
        <x:v>—</x:v>
      </x:c>
      <x:c r="G122" s="44" t="str">
        <x:v>—</x:v>
      </x:c>
    </x:row>
    <x:row r="123">
      <x:c r="A123" s="20" t="str">
        <x:v>Email id=352</x:v>
      </x:c>
      <x:c r="B123" s="44" t="str">
        <x:v>✓</x:v>
      </x:c>
      <x:c r="C123" s="44" t="str">
        <x:v>✓</x:v>
      </x:c>
      <x:c r="D123" s="44" t="str">
        <x:v>✓</x:v>
      </x:c>
      <x:c r="E123" s="44" t="str">
        <x:v>—</x:v>
      </x:c>
      <x:c r="F123" s="44" t="str">
        <x:v>—</x:v>
      </x:c>
      <x:c r="G123" s="44" t="str">
        <x:v>—</x:v>
      </x:c>
    </x:row>
    <x:row r="124">
      <x:c r="A124" s="20" t="str">
        <x:v>Email id=355</x:v>
      </x:c>
      <x:c r="B124" s="44" t="str">
        <x:v>✓</x:v>
      </x:c>
      <x:c r="C124" s="44" t="str">
        <x:v>—</x:v>
      </x:c>
      <x:c r="D124" s="44" t="str">
        <x:v>✓</x:v>
      </x:c>
      <x:c r="E124" s="44" t="str">
        <x:v>—</x:v>
      </x:c>
      <x:c r="F124" s="44" t="str">
        <x:v>—</x:v>
      </x:c>
      <x:c r="G124" s="44" t="str">
        <x:v>—</x:v>
      </x:c>
    </x:row>
    <x:row r="125">
      <x:c r="A125" s="20" t="str">
        <x:v>Email id=357</x:v>
      </x:c>
      <x:c r="B125" s="44" t="str">
        <x:v>✓</x:v>
      </x:c>
      <x:c r="C125" s="44" t="str">
        <x:v>—</x:v>
      </x:c>
      <x:c r="D125" s="44" t="str">
        <x:v>—</x:v>
      </x:c>
      <x:c r="E125" s="44" t="str">
        <x:v>—</x:v>
      </x:c>
      <x:c r="F125" s="44" t="str">
        <x:v>—</x:v>
      </x:c>
      <x:c r="G125" s="44" t="str">
        <x:v>—</x:v>
      </x:c>
    </x:row>
    <x:row r="126">
      <x:c r="A126" s="20" t="str">
        <x:v>Email id=360</x:v>
      </x:c>
      <x:c r="B126" s="44" t="str">
        <x:v>✓</x:v>
      </x:c>
      <x:c r="C126" s="44" t="str">
        <x:v>—</x:v>
      </x:c>
      <x:c r="D126" s="44" t="str">
        <x:v>—</x:v>
      </x:c>
      <x:c r="E126" s="44" t="str">
        <x:v>—</x:v>
      </x:c>
      <x:c r="F126" s="44" t="str">
        <x:v>—</x:v>
      </x:c>
      <x:c r="G126" s="44" t="str">
        <x:v>—</x:v>
      </x:c>
    </x:row>
    <x:row r="127">
      <x:c r="A127" s="20" t="str">
        <x:v>Email id=361</x:v>
      </x:c>
      <x:c r="B127" s="44" t="str">
        <x:v>✓</x:v>
      </x:c>
      <x:c r="C127" s="44" t="str">
        <x:v>—</x:v>
      </x:c>
      <x:c r="D127" s="44" t="str">
        <x:v>—</x:v>
      </x:c>
      <x:c r="E127" s="44" t="str">
        <x:v>✓</x:v>
      </x:c>
      <x:c r="F127" s="44" t="str">
        <x:v>—</x:v>
      </x:c>
      <x:c r="G127" s="44" t="str">
        <x:v>—</x:v>
      </x:c>
    </x:row>
    <x:row r="128">
      <x:c r="A128" s="20" t="str">
        <x:v>Email id=362</x:v>
      </x:c>
      <x:c r="B128" s="44" t="str">
        <x:v>✓</x:v>
      </x:c>
      <x:c r="C128" s="44" t="str">
        <x:v>—</x:v>
      </x:c>
      <x:c r="D128" s="44" t="str">
        <x:v>—</x:v>
      </x:c>
      <x:c r="E128" s="44" t="str">
        <x:v>✓</x:v>
      </x:c>
      <x:c r="F128" s="44" t="str">
        <x:v>—</x:v>
      </x:c>
      <x:c r="G128" s="44" t="str">
        <x:v>—</x:v>
      </x:c>
    </x:row>
    <x:row r="129">
      <x:c r="A129" s="20" t="str">
        <x:v>Email id=363</x:v>
      </x:c>
      <x:c r="B129" s="44" t="str">
        <x:v>✓</x:v>
      </x:c>
      <x:c r="C129" s="44" t="str">
        <x:v>—</x:v>
      </x:c>
      <x:c r="D129" s="44" t="str">
        <x:v>—</x:v>
      </x:c>
      <x:c r="E129" s="44" t="str">
        <x:v>✓</x:v>
      </x:c>
      <x:c r="F129" s="44" t="str">
        <x:v>—</x:v>
      </x:c>
      <x:c r="G129" s="44" t="str">
        <x:v>—</x:v>
      </x:c>
    </x:row>
    <x:row r="130">
      <x:c r="A130" s="20" t="str">
        <x:v>Email id=364</x:v>
      </x:c>
      <x:c r="B130" s="44" t="str">
        <x:v>✓</x:v>
      </x:c>
      <x:c r="C130" s="44" t="str">
        <x:v>—</x:v>
      </x:c>
      <x:c r="D130" s="44" t="str">
        <x:v>—</x:v>
      </x:c>
      <x:c r="E130" s="44" t="str">
        <x:v>✓</x:v>
      </x:c>
      <x:c r="F130" s="44" t="str">
        <x:v>—</x:v>
      </x:c>
      <x:c r="G130" s="44" t="str">
        <x:v>—</x:v>
      </x:c>
    </x:row>
    <x:row r="131">
      <x:c r="A131" s="20" t="str">
        <x:v>Email id=375</x:v>
      </x:c>
      <x:c r="B131" s="44" t="str">
        <x:v>—</x:v>
      </x:c>
      <x:c r="C131" s="44" t="str">
        <x:v>—</x:v>
      </x:c>
      <x:c r="D131" s="44" t="str">
        <x:v>—</x:v>
      </x:c>
      <x:c r="E131" s="44" t="str">
        <x:v>✓</x:v>
      </x:c>
      <x:c r="F131" s="44" t="str">
        <x:v>—</x:v>
      </x:c>
      <x:c r="G131" s="44" t="str">
        <x:v>—</x:v>
      </x:c>
    </x:row>
    <x:row r="132">
      <x:c r="A132" s="20" t="str">
        <x:v>Email id=387</x:v>
      </x:c>
      <x:c r="B132" s="44" t="str">
        <x:v>—</x:v>
      </x:c>
      <x:c r="C132" s="44" t="str">
        <x:v>—</x:v>
      </x:c>
      <x:c r="D132" s="44" t="str">
        <x:v>—</x:v>
      </x:c>
      <x:c r="E132" s="44" t="str">
        <x:v>✓</x:v>
      </x:c>
      <x:c r="F132" s="44" t="str">
        <x:v>—</x:v>
      </x:c>
      <x:c r="G132" s="44" t="str">
        <x:v>—</x:v>
      </x:c>
    </x:row>
    <x:row r="133">
      <x:c r="A133" s="20" t="str">
        <x:v>Email id=388</x:v>
      </x:c>
      <x:c r="B133" s="44" t="str">
        <x:v>—</x:v>
      </x:c>
      <x:c r="C133" s="44" t="str">
        <x:v>—</x:v>
      </x:c>
      <x:c r="D133" s="44" t="str">
        <x:v>—</x:v>
      </x:c>
      <x:c r="E133" s="44" t="str">
        <x:v>✓</x:v>
      </x:c>
      <x:c r="F133" s="44" t="str">
        <x:v>—</x:v>
      </x:c>
      <x:c r="G133" s="44" t="str">
        <x:v>—</x:v>
      </x:c>
    </x:row>
    <x:row r="134">
      <x:c r="A134" s="20" t="str">
        <x:v>Email id=390</x:v>
      </x:c>
      <x:c r="B134" s="44" t="str">
        <x:v>—</x:v>
      </x:c>
      <x:c r="C134" s="44" t="str">
        <x:v>—</x:v>
      </x:c>
      <x:c r="D134" s="44" t="str">
        <x:v>—</x:v>
      </x:c>
      <x:c r="E134" s="44" t="str">
        <x:v>✓</x:v>
      </x:c>
      <x:c r="F134" s="44" t="str">
        <x:v>—</x:v>
      </x:c>
      <x:c r="G134" s="44" t="str">
        <x:v>—</x:v>
      </x:c>
    </x:row>
    <x:row r="135">
      <x:c r="A135" s="20" t="str">
        <x:v>Email id=391</x:v>
      </x:c>
      <x:c r="B135" s="44" t="str">
        <x:v>—</x:v>
      </x:c>
      <x:c r="C135" s="44" t="str">
        <x:v>—</x:v>
      </x:c>
      <x:c r="D135" s="44" t="str">
        <x:v>—</x:v>
      </x:c>
      <x:c r="E135" s="44" t="str">
        <x:v>✓</x:v>
      </x:c>
      <x:c r="F135" s="44" t="str">
        <x:v>—</x:v>
      </x:c>
      <x:c r="G135" s="44" t="str">
        <x:v>—</x:v>
      </x:c>
    </x:row>
    <x:row r="136">
      <x:c r="A136" s="20" t="str">
        <x:v>Email id=393</x:v>
      </x:c>
      <x:c r="B136" s="44" t="str">
        <x:v>—</x:v>
      </x:c>
      <x:c r="C136" s="44" t="str">
        <x:v>—</x:v>
      </x:c>
      <x:c r="D136" s="44" t="str">
        <x:v>—</x:v>
      </x:c>
      <x:c r="E136" s="44" t="str">
        <x:v>✓</x:v>
      </x:c>
      <x:c r="F136" s="44" t="str">
        <x:v>—</x:v>
      </x:c>
      <x:c r="G136" s="44" t="str">
        <x:v>—</x:v>
      </x:c>
    </x:row>
    <x:row r="137">
      <x:c r="A137" s="20" t="str">
        <x:v>Email id=394</x:v>
      </x:c>
      <x:c r="B137" s="44" t="str">
        <x:v>—</x:v>
      </x:c>
      <x:c r="C137" s="44" t="str">
        <x:v>—</x:v>
      </x:c>
      <x:c r="D137" s="44" t="str">
        <x:v>—</x:v>
      </x:c>
      <x:c r="E137" s="44" t="str">
        <x:v>✓</x:v>
      </x:c>
      <x:c r="F137" s="44" t="str">
        <x:v>—</x:v>
      </x:c>
      <x:c r="G137" s="44" t="str">
        <x:v>—</x:v>
      </x:c>
    </x:row>
    <x:row r="138">
      <x:c r="A138" s="20" t="str">
        <x:v>Email id=396</x:v>
      </x:c>
      <x:c r="B138" s="44" t="str">
        <x:v>—</x:v>
      </x:c>
      <x:c r="C138" s="44" t="str">
        <x:v>—</x:v>
      </x:c>
      <x:c r="D138" s="44" t="str">
        <x:v>—</x:v>
      </x:c>
      <x:c r="E138" s="44" t="str">
        <x:v>✓</x:v>
      </x:c>
      <x:c r="F138" s="44" t="str">
        <x:v>—</x:v>
      </x:c>
      <x:c r="G138" s="44" t="str">
        <x:v>—</x:v>
      </x:c>
    </x:row>
    <x:row r="139">
      <x:c r="A139" s="20" t="str">
        <x:v>Email id=397</x:v>
      </x:c>
      <x:c r="B139" s="44" t="str">
        <x:v>—</x:v>
      </x:c>
      <x:c r="C139" s="44" t="str">
        <x:v>—</x:v>
      </x:c>
      <x:c r="D139" s="44" t="str">
        <x:v>—</x:v>
      </x:c>
      <x:c r="E139" s="44" t="str">
        <x:v>✓</x:v>
      </x:c>
      <x:c r="F139" s="44" t="str">
        <x:v>—</x:v>
      </x:c>
      <x:c r="G139" s="44" t="str">
        <x:v>—</x:v>
      </x:c>
    </x:row>
    <x:row r="140">
      <x:c r="A140" s="20" t="str">
        <x:v>Email id=398</x:v>
      </x:c>
      <x:c r="B140" s="44" t="str">
        <x:v>—</x:v>
      </x:c>
      <x:c r="C140" s="44" t="str">
        <x:v>—</x:v>
      </x:c>
      <x:c r="D140" s="44" t="str">
        <x:v>—</x:v>
      </x:c>
      <x:c r="E140" s="44" t="str">
        <x:v>✓</x:v>
      </x:c>
      <x:c r="F140" s="44" t="str">
        <x:v>—</x:v>
      </x:c>
      <x:c r="G140" s="44" t="str">
        <x:v>—</x:v>
      </x:c>
    </x:row>
    <x:row r="141">
      <x:c r="A141" s="20" t="str">
        <x:v>Email id=443</x:v>
      </x:c>
      <x:c r="B141" s="44" t="str">
        <x:v>✓</x:v>
      </x:c>
      <x:c r="C141" s="44" t="str">
        <x:v>—</x:v>
      </x:c>
      <x:c r="D141" s="44" t="str">
        <x:v>—</x:v>
      </x:c>
      <x:c r="E141" s="44" t="str">
        <x:v>—</x:v>
      </x:c>
      <x:c r="F141" s="44" t="str">
        <x:v>—</x:v>
      </x:c>
      <x:c r="G141" s="44" t="str">
        <x:v>—</x:v>
      </x:c>
    </x:row>
    <x:row r="142">
      <x:c r="A142" s="20" t="str">
        <x:v>Email id=444</x:v>
      </x:c>
      <x:c r="B142" s="44" t="str">
        <x:v>✓</x:v>
      </x:c>
      <x:c r="C142" s="44" t="str">
        <x:v>—</x:v>
      </x:c>
      <x:c r="D142" s="44" t="str">
        <x:v>—</x:v>
      </x:c>
      <x:c r="E142" s="44" t="str">
        <x:v>—</x:v>
      </x:c>
      <x:c r="F142" s="44" t="str">
        <x:v>—</x:v>
      </x:c>
      <x:c r="G142" s="44" t="str">
        <x:v>—</x:v>
      </x:c>
    </x:row>
    <x:row r="143">
      <x:c r="A143" s="20" t="str">
        <x:v>Email id=445</x:v>
      </x:c>
      <x:c r="B143" s="44" t="str">
        <x:v>✓</x:v>
      </x:c>
      <x:c r="C143" s="44" t="str">
        <x:v>—</x:v>
      </x:c>
      <x:c r="D143" s="44" t="str">
        <x:v>—</x:v>
      </x:c>
      <x:c r="E143" s="44" t="str">
        <x:v>—</x:v>
      </x:c>
      <x:c r="F143" s="44" t="str">
        <x:v>—</x:v>
      </x:c>
      <x:c r="G143" s="44" t="str">
        <x:v>—</x:v>
      </x:c>
    </x:row>
    <x:row r="144">
      <x:c r="A144" s="20" t="str">
        <x:v>Email id=446</x:v>
      </x:c>
      <x:c r="B144" s="44" t="str">
        <x:v>✓</x:v>
      </x:c>
      <x:c r="C144" s="44" t="str">
        <x:v>—</x:v>
      </x:c>
      <x:c r="D144" s="44" t="str">
        <x:v>—</x:v>
      </x:c>
      <x:c r="E144" s="44" t="str">
        <x:v>—</x:v>
      </x:c>
      <x:c r="F144" s="44" t="str">
        <x:v>—</x:v>
      </x:c>
      <x:c r="G144" s="44" t="str">
        <x:v>—</x:v>
      </x:c>
    </x:row>
    <x:row r="145">
      <x:c r="A145" s="20" t="str">
        <x:v>Email id=447</x:v>
      </x:c>
      <x:c r="B145" s="44" t="str">
        <x:v>✓</x:v>
      </x:c>
      <x:c r="C145" s="44" t="str">
        <x:v>—</x:v>
      </x:c>
      <x:c r="D145" s="44" t="str">
        <x:v>—</x:v>
      </x:c>
      <x:c r="E145" s="44" t="str">
        <x:v>—</x:v>
      </x:c>
      <x:c r="F145" s="44" t="str">
        <x:v>—</x:v>
      </x:c>
      <x:c r="G145" s="44" t="str">
        <x:v>—</x:v>
      </x:c>
    </x:row>
    <x:row r="146">
      <x:c r="A146" s="20" t="str">
        <x:v>Email id=448</x:v>
      </x:c>
      <x:c r="B146" s="44" t="str">
        <x:v>✓</x:v>
      </x:c>
      <x:c r="C146" s="44" t="str">
        <x:v>—</x:v>
      </x:c>
      <x:c r="D146" s="44" t="str">
        <x:v>—</x:v>
      </x:c>
      <x:c r="E146" s="44" t="str">
        <x:v>—</x:v>
      </x:c>
      <x:c r="F146" s="44" t="str">
        <x:v>—</x:v>
      </x:c>
      <x:c r="G146" s="44" t="str">
        <x:v>—</x:v>
      </x:c>
    </x:row>
    <x:row r="147">
      <x:c r="A147" s="20" t="str">
        <x:v>Email id=449</x:v>
      </x:c>
      <x:c r="B147" s="44" t="str">
        <x:v>✓</x:v>
      </x:c>
      <x:c r="C147" s="44" t="str">
        <x:v>—</x:v>
      </x:c>
      <x:c r="D147" s="44" t="str">
        <x:v>—</x:v>
      </x:c>
      <x:c r="E147" s="44" t="str">
        <x:v>—</x:v>
      </x:c>
      <x:c r="F147" s="44" t="str">
        <x:v>—</x:v>
      </x:c>
      <x:c r="G147" s="44" t="str">
        <x:v>—</x:v>
      </x:c>
    </x:row>
    <x:row r="148">
      <x:c r="A148" s="20" t="str">
        <x:v>EmailThread pk=1</x:v>
      </x:c>
      <x:c r="B148" s="44" t="str">
        <x:v>✓</x:v>
      </x:c>
      <x:c r="C148" s="44" t="str">
        <x:v>✓</x:v>
      </x:c>
      <x:c r="D148" s="44" t="str">
        <x:v>✓</x:v>
      </x:c>
      <x:c r="E148" s="44" t="str">
        <x:v>—</x:v>
      </x:c>
      <x:c r="F148" s="44" t="str">
        <x:v>—</x:v>
      </x:c>
      <x:c r="G148" s="44" t="str">
        <x:v>—</x:v>
      </x:c>
    </x:row>
    <x:row r="149">
      <x:c r="A149" s="20" t="str">
        <x:v>EmailThread pk=26</x:v>
      </x:c>
      <x:c r="B149" s="44" t="str">
        <x:v>Omis</x:v>
      </x:c>
      <x:c r="C149" s="44" t="str">
        <x:v>✓</x:v>
      </x:c>
      <x:c r="D149" s="44" t="str">
        <x:v>✓</x:v>
      </x:c>
      <x:c r="E149" s="44" t="str">
        <x:v>—</x:v>
      </x:c>
      <x:c r="F149" s="44" t="str">
        <x:v>—</x:v>
      </x:c>
      <x:c r="G149" s="44" t="str">
        <x:v>—</x:v>
      </x:c>
    </x:row>
    <x:row r="150">
      <x:c r="A150" s="20" t="str">
        <x:v>EmailThread id=27</x:v>
      </x:c>
      <x:c r="B150" s="44" t="str">
        <x:v>✓</x:v>
      </x:c>
      <x:c r="C150" s="44" t="str">
        <x:v>—</x:v>
      </x:c>
      <x:c r="D150" s="44" t="str">
        <x:v>—</x:v>
      </x:c>
      <x:c r="E150" s="44" t="str">
        <x:v>—</x:v>
      </x:c>
      <x:c r="F150" s="44" t="str">
        <x:v>—</x:v>
      </x:c>
      <x:c r="G150" s="44" t="str">
        <x:v>—</x:v>
      </x:c>
    </x:row>
    <x:row r="151">
      <x:c r="A151" s="20" t="str">
        <x:v>EmailThread id=159</x:v>
      </x:c>
      <x:c r="B151" s="44" t="str">
        <x:v>✓</x:v>
      </x:c>
      <x:c r="C151" s="44" t="str">
        <x:v>—</x:v>
      </x:c>
      <x:c r="D151" s="44" t="str">
        <x:v>✓</x:v>
      </x:c>
      <x:c r="E151" s="44" t="str">
        <x:v>—</x:v>
      </x:c>
      <x:c r="F151" s="44" t="str">
        <x:v>✓</x:v>
      </x:c>
      <x:c r="G151" s="44" t="str">
        <x:v>—</x:v>
      </x:c>
    </x:row>
    <x:row r="152">
      <x:c r="A152" s="20" t="str">
        <x:v>PDFDocument id=60</x:v>
      </x:c>
      <x:c r="B152" s="44" t="str">
        <x:v>✓</x:v>
      </x:c>
      <x:c r="C152" s="44" t="str">
        <x:v>✓</x:v>
      </x:c>
      <x:c r="D152" s="44" t="str">
        <x:v>✓</x:v>
      </x:c>
      <x:c r="E152" s="44" t="str">
        <x:v>Implicite</x:v>
      </x:c>
      <x:c r="F152" s="44" t="str">
        <x:v>✓</x:v>
      </x:c>
      <x:c r="G152" s="44" t="str">
        <x:v>—</x:v>
      </x:c>
    </x:row>
    <x:row r="153">
      <x:c r="A153" s="20" t="str">
        <x:v>PDFDocument id=90</x:v>
      </x:c>
      <x:c r="B153" s="44" t="str">
        <x:v>✓</x:v>
      </x:c>
      <x:c r="C153" s="44" t="str">
        <x:v>—</x:v>
      </x:c>
      <x:c r="D153" s="44" t="str">
        <x:v>✓</x:v>
      </x:c>
      <x:c r="E153" s="44" t="str">
        <x:v>—</x:v>
      </x:c>
      <x:c r="F153" s="44" t="str">
        <x:v>—</x:v>
      </x:c>
      <x:c r="G153" s="44" t="str">
        <x:v>—</x:v>
      </x:c>
    </x:row>
    <x:row r="154">
      <x:c r="A154" s="20" t="str">
        <x:v>PDFDocument id=91</x:v>
      </x:c>
      <x:c r="B154" s="44" t="str">
        <x:v>✓</x:v>
      </x:c>
      <x:c r="C154" s="44" t="str">
        <x:v>—</x:v>
      </x:c>
      <x:c r="D154" s="44" t="str">
        <x:v>✓</x:v>
      </x:c>
      <x:c r="E154" s="44" t="str">
        <x:v>—</x:v>
      </x:c>
      <x:c r="F154" s="44" t="str">
        <x:v>—</x:v>
      </x:c>
      <x:c r="G154" s="44" t="str">
        <x:v>—</x:v>
      </x:c>
    </x:row>
    <x:row r="155">
      <x:c r="A155" s="20" t="str">
        <x:v>PhotoDocument id=5</x:v>
      </x:c>
      <x:c r="B155" s="44" t="str">
        <x:v>✓</x:v>
      </x:c>
      <x:c r="C155" s="44" t="str">
        <x:v>✓</x:v>
      </x:c>
      <x:c r="D155" s="44" t="str">
        <x:v>✓</x:v>
      </x:c>
      <x:c r="E155" s="44" t="str">
        <x:v>Implicite</x:v>
      </x:c>
      <x:c r="F155" s="44" t="str">
        <x:v>✓</x:v>
      </x:c>
      <x:c r="G155" s="44" t="str">
        <x:v>—</x:v>
      </x:c>
    </x:row>
    <x:row r="156">
      <x:c r="A156" s="20" t="str">
        <x:v>Photo id=4517</x:v>
      </x:c>
      <x:c r="B156" s="44" t="str">
        <x:v>Omis</x:v>
      </x:c>
      <x:c r="C156" s="44" t="str">
        <x:v>Implicite</x:v>
      </x:c>
      <x:c r="D156" s="44" t="str">
        <x:v>—</x:v>
      </x:c>
      <x:c r="E156" s="44" t="str">
        <x:v>—</x:v>
      </x:c>
      <x:c r="F156" s="44" t="str">
        <x:v>—</x:v>
      </x:c>
      <x:c r="G156" s="44" t="str">
        <x:v>—</x:v>
      </x:c>
    </x:row>
    <x:row r="157">
      <x:c r="A157" s="20" t="str">
        <x:v>Photo id=4518</x:v>
      </x:c>
      <x:c r="B157" s="44" t="str">
        <x:v>Omis</x:v>
      </x:c>
      <x:c r="C157" s="44" t="str">
        <x:v>Implicite</x:v>
      </x:c>
      <x:c r="D157" s="44" t="str">
        <x:v>—</x:v>
      </x:c>
      <x:c r="E157" s="44" t="str">
        <x:v>—</x:v>
      </x:c>
      <x:c r="F157" s="44" t="str">
        <x:v>—</x:v>
      </x:c>
      <x:c r="G157" s="44" t="str">
        <x:v>—</x:v>
      </x:c>
    </x:row>
    <x:row r="158">
      <x:c r="A158" s="20" t="str">
        <x:v>Photo id=4519</x:v>
      </x:c>
      <x:c r="B158" s="44" t="str">
        <x:v>Omis</x:v>
      </x:c>
      <x:c r="C158" s="44" t="str">
        <x:v>Implicite</x:v>
      </x:c>
      <x:c r="D158" s="44" t="str">
        <x:v>—</x:v>
      </x:c>
      <x:c r="E158" s="44" t="str">
        <x:v>—</x:v>
      </x:c>
      <x:c r="F158" s="44" t="str">
        <x:v>—</x:v>
      </x:c>
      <x:c r="G158" s="44" t="str">
        <x:v>—</x:v>
      </x:c>
    </x:row>
    <x:row r="159">
      <x:c r="A159" s="20" t="str">
        <x:v>Photo id=4520</x:v>
      </x:c>
      <x:c r="B159" s="44" t="str">
        <x:v>Omis</x:v>
      </x:c>
      <x:c r="C159" s="44" t="str">
        <x:v>Implicite</x:v>
      </x:c>
      <x:c r="D159" s="44" t="str">
        <x:v>—</x:v>
      </x:c>
      <x:c r="E159" s="44" t="str">
        <x:v>—</x:v>
      </x:c>
      <x:c r="F159" s="44" t="str">
        <x:v>—</x:v>
      </x:c>
      <x:c r="G159" s="44" t="str">
        <x:v>—</x:v>
      </x:c>
    </x:row>
    <x:row r="160">
      <x:c r="A160" s="20" t="str">
        <x:v>Photo id=4521</x:v>
      </x:c>
      <x:c r="B160" s="44" t="str">
        <x:v>Omis</x:v>
      </x:c>
      <x:c r="C160" s="44" t="str">
        <x:v>Implicite</x:v>
      </x:c>
      <x:c r="D160" s="44" t="str">
        <x:v>—</x:v>
      </x:c>
      <x:c r="E160" s="44" t="str">
        <x:v>—</x:v>
      </x:c>
      <x:c r="F160" s="44" t="str">
        <x:v>—</x:v>
      </x:c>
      <x:c r="G160" s="44" t="str">
        <x:v>—</x:v>
      </x:c>
    </x:row>
    <x:row r="161">
      <x:c r="A161" s="20" t="str">
        <x:v>Photo id=4522</x:v>
      </x:c>
      <x:c r="B161" s="44" t="str">
        <x:v>Omis</x:v>
      </x:c>
      <x:c r="C161" s="44" t="str">
        <x:v>Implicite</x:v>
      </x:c>
      <x:c r="D161" s="44" t="str">
        <x:v>—</x:v>
      </x:c>
      <x:c r="E161" s="44" t="str">
        <x:v>—</x:v>
      </x:c>
      <x:c r="F161" s="44" t="str">
        <x:v>—</x:v>
      </x:c>
      <x:c r="G161" s="44" t="str">
        <x:v>—</x:v>
      </x:c>
    </x:row>
    <x:row r="162">
      <x:c r="A162" s="20" t="str">
        <x:v>P-234</x:v>
      </x:c>
      <x:c r="B162" s="44" t="str">
        <x:v>—</x:v>
      </x:c>
      <x:c r="C162" s="44" t="str">
        <x:v>—</x:v>
      </x:c>
      <x:c r="D162" s="44" t="str">
        <x:v>—</x:v>
      </x:c>
      <x:c r="E162" s="44" t="str">
        <x:v>✓</x:v>
      </x:c>
      <x:c r="F162" s="44" t="str">
        <x:v>—</x:v>
      </x:c>
      <x:c r="G162" s="44" t="str">
        <x:v>—</x:v>
      </x:c>
    </x:row>
    <x:row r="163">
      <x:c r="A163" s="20" t="str">
        <x:v>P-236</x:v>
      </x:c>
      <x:c r="B163" s="44" t="str">
        <x:v>—</x:v>
      </x:c>
      <x:c r="C163" s="44" t="str">
        <x:v>—</x:v>
      </x:c>
      <x:c r="D163" s="44" t="str">
        <x:v>—</x:v>
      </x:c>
      <x:c r="E163" s="44" t="str">
        <x:v>✓</x:v>
      </x:c>
      <x:c r="F163" s="44" t="str">
        <x:v>—</x:v>
      </x:c>
      <x:c r="G163" s="44" t="str">
        <x:v>—</x:v>
      </x:c>
    </x:row>
    <x:row r="164">
      <x:c r="A164" s="20" t="str">
        <x:v>P-238</x:v>
      </x:c>
      <x:c r="B164" s="44" t="str">
        <x:v>—</x:v>
      </x:c>
      <x:c r="C164" s="44" t="str">
        <x:v>—</x:v>
      </x:c>
      <x:c r="D164" s="44" t="str">
        <x:v>—</x:v>
      </x:c>
      <x:c r="E164" s="44" t="str">
        <x:v>✓</x:v>
      </x:c>
      <x:c r="F164" s="44" t="str">
        <x:v>—</x:v>
      </x:c>
      <x:c r="G164" s="44" t="str">
        <x:v>—</x:v>
      </x:c>
    </x:row>
    <x:row r="165">
      <x:c r="A165" s="20" t="str">
        <x:v>P-239</x:v>
      </x:c>
      <x:c r="B165" s="44" t="str">
        <x:v>—</x:v>
      </x:c>
      <x:c r="C165" s="44" t="str">
        <x:v>—</x:v>
      </x:c>
      <x:c r="D165" s="44" t="str">
        <x:v>—</x:v>
      </x:c>
      <x:c r="E165" s="44" t="str">
        <x:v>✓</x:v>
      </x:c>
      <x:c r="F165" s="44" t="str">
        <x:v>—</x:v>
      </x:c>
      <x:c r="G165" s="44" t="str">
        <x:v>—</x:v>
      </x:c>
    </x:row>
    <x:row r="166">
      <x:c r="A166" s="20" t="str">
        <x:v>P-240</x:v>
      </x:c>
      <x:c r="B166" s="44" t="str">
        <x:v>—</x:v>
      </x:c>
      <x:c r="C166" s="44" t="str">
        <x:v>—</x:v>
      </x:c>
      <x:c r="D166" s="44" t="str">
        <x:v>—</x:v>
      </x:c>
      <x:c r="E166" s="44" t="str">
        <x:v>✓</x:v>
      </x:c>
      <x:c r="F166" s="44" t="str">
        <x:v>✓</x:v>
      </x:c>
      <x:c r="G166" s="44" t="str">
        <x:v>—</x:v>
      </x:c>
    </x:row>
    <x:row r="167">
      <x:c r="A167" s="20" t="str">
        <x:v>P-241</x:v>
      </x:c>
      <x:c r="B167" s="44" t="str">
        <x:v>—</x:v>
      </x:c>
      <x:c r="C167" s="44" t="str">
        <x:v>—</x:v>
      </x:c>
      <x:c r="D167" s="44" t="str">
        <x:v>—</x:v>
      </x:c>
      <x:c r="E167" s="44" t="str">
        <x:v>✓</x:v>
      </x:c>
      <x:c r="F167" s="44" t="str">
        <x:v>—</x:v>
      </x:c>
      <x:c r="G167" s="44" t="str">
        <x:v>—</x:v>
      </x:c>
    </x:row>
    <x:row r="168">
      <x:c r="A168" s="20" t="str">
        <x:v>P-273</x:v>
      </x:c>
      <x:c r="B168" s="44" t="str">
        <x:v>—</x:v>
      </x:c>
      <x:c r="C168" s="44" t="str">
        <x:v>—</x:v>
      </x:c>
      <x:c r="D168" s="44" t="str">
        <x:v>—</x:v>
      </x:c>
      <x:c r="E168" s="44" t="str">
        <x:v>✓</x:v>
      </x:c>
      <x:c r="F168" s="44" t="str">
        <x:v>✓</x:v>
      </x:c>
      <x:c r="G168" s="44" t="str">
        <x:v>—</x:v>
      </x:c>
    </x:row>
    <x:row r="169">
      <x:c r="A169" s="20" t="str">
        <x:v>P-275</x:v>
      </x:c>
      <x:c r="B169" s="44" t="str">
        <x:v>—</x:v>
      </x:c>
      <x:c r="C169" s="44" t="str">
        <x:v>—</x:v>
      </x:c>
      <x:c r="D169" s="44" t="str">
        <x:v>—</x:v>
      </x:c>
      <x:c r="E169" s="44" t="str">
        <x:v>✓</x:v>
      </x:c>
      <x:c r="F169" s="44" t="str">
        <x:v>✓</x:v>
      </x:c>
      <x:c r="G169" s="44" t="str">
        <x:v>—</x:v>
      </x:c>
    </x:row>
    <x:row r="170">
      <x:c r="A170" s="20" t="str">
        <x:v>P-276</x:v>
      </x:c>
      <x:c r="B170" s="44" t="str">
        <x:v>—</x:v>
      </x:c>
      <x:c r="C170" s="44" t="str">
        <x:v>—</x:v>
      </x:c>
      <x:c r="D170" s="44" t="str">
        <x:v>—</x:v>
      </x:c>
      <x:c r="E170" s="44" t="str">
        <x:v>✓</x:v>
      </x:c>
      <x:c r="F170" s="44" t="str">
        <x:v>✓</x:v>
      </x:c>
      <x:c r="G170" s="44" t="str">
        <x:v>—</x:v>
      </x:c>
    </x:row>
    <x:row r="171">
      <x:c r="A171" s="20" t="str">
        <x:v>P-277</x:v>
      </x:c>
      <x:c r="B171" s="44" t="str">
        <x:v>—</x:v>
      </x:c>
      <x:c r="C171" s="44" t="str">
        <x:v>—</x:v>
      </x:c>
      <x:c r="D171" s="44" t="str">
        <x:v>—</x:v>
      </x:c>
      <x:c r="E171" s="44" t="str">
        <x:v>✓</x:v>
      </x:c>
      <x:c r="F171" s="44" t="str">
        <x:v>✓</x:v>
      </x:c>
      <x:c r="G171" s="44" t="str">
        <x:v>—</x:v>
      </x:c>
    </x:row>
    <x:row r="172">
      <x:c r="A172" s="20" t="str">
        <x:v>P-278</x:v>
      </x:c>
      <x:c r="B172" s="44" t="str">
        <x:v>—</x:v>
      </x:c>
      <x:c r="C172" s="44" t="str">
        <x:v>—</x:v>
      </x:c>
      <x:c r="D172" s="44" t="str">
        <x:v>—</x:v>
      </x:c>
      <x:c r="E172" s="44" t="str">
        <x:v>✓</x:v>
      </x:c>
      <x:c r="F172" s="44" t="str">
        <x:v>✓</x:v>
      </x:c>
      <x:c r="G172" s="44" t="str">
        <x:v>—</x:v>
      </x:c>
    </x:row>
  </x:sheetData>
  <x:conditionalFormatting sqref="B2:G172">
    <x:cfRule type="expression" dxfId="2" priority="1">
      <x:formula>B2="✓"</x:formula>
    </x:cfRule>
    <x:cfRule type="expression" dxfId="3" priority="2">
      <x:formula>B2="Implicite"</x:formula>
    </x:cfRule>
    <x:cfRule type="expression" dxfId="4" priority="3">
      <x:formula>B2="Omis"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5978ebe68b4d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50" hidden="0" customWidth="1"/>
    <x:col min="4" max="4" width="30" hidden="0" customWidth="1"/>
    <x:col min="5" max="5" width="52" hidden="0" customWidth="1"/>
  </x:cols>
  <x:sheetData>
    <x:row r="1">
      <x:c r="A1" s="14" t="str">
        <x:v>Paragraphe procédural</x:v>
      </x:c>
      <x:c r="B1" s="14" t="str">
        <x:v>Proposition factuelle</x:v>
      </x:c>
      <x:c r="C1" s="14" t="str">
        <x:v>Référence ou références internes</x:v>
      </x:c>
      <x:c r="D1" s="14" t="str">
        <x:v>Type de soutien</x:v>
      </x:c>
      <x:c r="E1" s="14" t="str">
        <x:v>Observation</x:v>
      </x:c>
    </x:row>
    <x:row r="2">
      <x:c r="A2" s="40" t="str">
        <x:v>§9-1</x:v>
      </x:c>
      <x:c r="B2" s="40" t="str">
        <x:v>Le 19 novembre 2015, la demanderesse allègue un départ pendant tout l'été et qu'elle fut laissée seule avec les enfants.</x:v>
      </x:c>
      <x:c r="C2" s="40" t="str">
        <x:v>piece_document-1.md</x:v>
      </x:c>
      <x:c r="D2" s="40" t="str">
        <x:v>soutien direct</x:v>
      </x:c>
      <x:c r="E2" s="40" t="str">
        <x:v>L'acte de procédure est la source de l'allégation contestée.</x:v>
      </x:c>
    </x:row>
    <x:row r="3">
      <x:c r="A3" s="40" t="str">
        <x:v>§9-2</x:v>
      </x:c>
      <x:c r="B3" s="40" t="str">
        <x:v>Nicolas est né le 1er février 2013 et était âgé de quelques mois pendant l'été 2013.</x:v>
      </x:c>
      <x:c r="C3" s="40" t="str">
        <x:v>non précisé dans les fichiers examinés</x:v>
      </x:c>
      <x:c r="D3" s="40" t="str">
        <x:v>contexte seulement</x:v>
      </x:c>
      <x:c r="E3" s="40" t="str">
        <x:v>Aucune référence documentaire interne précise n'est rattachée à la date de naissance.</x:v>
      </x:c>
    </x:row>
    <x:row r="4">
      <x:c r="A4" s="40" t="str">
        <x:v>§9-3</x:v>
      </x:c>
      <x:c r="B4" s="40" t="str">
        <x:v>La saison de soccer d'Alexia s'est déroulée du 28 mai au 24 août 2013.</x:v>
      </x:c>
      <x:c r="C4" s="40" t="str">
        <x:v>Event id=239; Event id=263; PDFDocument id=91</x:v>
      </x:c>
      <x:c r="D4" s="40" t="str">
        <x:v>soutien cumulatif</x:v>
      </x:c>
      <x:c r="E4" s="40" t="str">
        <x:v>Les événements 239 et 263 sont directs; PDF 91 est seulement illustratif.</x:v>
      </x:c>
    </x:row>
    <x:row r="5">
      <x:c r="A5" s="40" t="str">
        <x:v>§9-4</x:v>
      </x:c>
      <x:c r="B5" s="40" t="str">
        <x:v>La demanderesse agissait comme entraîneuse de l'équipe de soccer d'Alexia.</x:v>
      </x:c>
      <x:c r="C5" s="40" t="str">
        <x:v>EmailThread id=159; témoignage/connaissance directe; registres ASSL disponibles</x:v>
      </x:c>
      <x:c r="D5" s="40" t="str">
        <x:v>corroboration</x:v>
      </x:c>
      <x:c r="E5" s="40" t="str">
        <x:v>Le fil 159 confirme la disponibilité de données historiques, mais n'identifie pas directement la demanderesse.</x:v>
      </x:c>
    </x:row>
    <x:row r="6">
      <x:c r="A6" s="40" t="str">
        <x:v>§9-5</x:v>
      </x:c>
      <x:c r="B6" s="40" t="str">
        <x:v>Pendant les activités de soccer, le défendeur prenait en charge Nicolas.</x:v>
      </x:c>
      <x:c r="C6" s="40" t="str">
        <x:v>EmailThread pk=26; Email id=33; Email id=32; PDFDocument id=90</x:v>
      </x:c>
      <x:c r="D6" s="40" t="str">
        <x:v>inférence tirée de plusieurs pièces</x:v>
      </x:c>
      <x:c r="E6" s="40" t="str">
        <x:v>Les courriels soutiennent l'organisation; PDF 90 est illustratif et ne prouve pas l'horaire 2013.</x:v>
      </x:c>
    </x:row>
    <x:row r="7">
      <x:c r="A7" s="40" t="str">
        <x:v>§9-6</x:v>
      </x:c>
      <x:c r="B7" s="40" t="str">
        <x:v>Entre le 1er juin et le 30 septembre 2013, le défendeur est documenté avec au moins un enfant à trente occasions ou plus.</x:v>
      </x:c>
      <x:c r="C7" s="40" t="str">
        <x:v>piece_tableau_recap_evenements.md; Events id=239, 241–267, 312–320</x:v>
      </x:c>
      <x:c r="D7" s="40" t="str">
        <x:v>soutien cumulatif</x:v>
      </x:c>
      <x:c r="E7" s="40" t="str">
        <x:v>La compilation doit être appuyée par les événements et photographies sous-jacents.</x:v>
      </x:c>
    </x:row>
    <x:row r="8">
      <x:c r="A8" s="40" t="str">
        <x:v>§9-7</x:v>
      </x:c>
      <x:c r="B8" s="40" t="str">
        <x:v>Les 16 et 17 juin 2013, le défendeur était à Cape Cod sans les enfants.</x:v>
      </x:c>
      <x:c r="C8" s="40" t="str">
        <x:v>Event id=242; Event id=243</x:v>
      </x:c>
      <x:c r="D8" s="40" t="str">
        <x:v>soutien direct</x:v>
      </x:c>
      <x:c r="E8" s="40" t="str">
        <x:v>Concession défavorable conservée pour précision.</x:v>
      </x:c>
    </x:row>
    <x:row r="9">
      <x:c r="A9" s="40" t="str">
        <x:v>§9-8</x:v>
      </x:c>
      <x:c r="B9" s="40" t="str">
        <x:v>Le 27 juin 2013, il écrivait ne pas avoir vu ses enfants depuis deux semaines.</x:v>
      </x:c>
      <x:c r="C9" s="40" t="str">
        <x:v>Email id=39</x:v>
      </x:c>
      <x:c r="D9" s="40" t="str">
        <x:v>soutien direct</x:v>
      </x:c>
      <x:c r="E9" s="40" t="str">
        <x:v>Concession contemporaine; contexte complet du courriel à préserver.</x:v>
      </x:c>
    </x:row>
    <x:row r="10">
      <x:c r="A10" s="40" t="str">
        <x:v>§9-9</x:v>
      </x:c>
      <x:c r="B10" s="40" t="str">
        <x:v>Le défendeur a fait de l'escalade avec Alexia les 27 juin, 7 juillet, 18 août, 26 août et 31 août 2013.</x:v>
      </x:c>
      <x:c r="C10" s="40" t="str">
        <x:v>Events id=316–320; EmailThread pk=1; Email id=1</x:v>
      </x:c>
      <x:c r="D10" s="40" t="str">
        <x:v>soutien cumulatif; corroboration</x:v>
      </x:c>
      <x:c r="E10" s="40" t="str">
        <x:v>Les événements établissent les dates; Allez Up apporte une corroboration tierce.</x:v>
      </x:c>
    </x:row>
    <x:row r="11">
      <x:c r="A11" s="40" t="str">
        <x:v>§9-10</x:v>
      </x:c>
      <x:c r="B11" s="40" t="str">
        <x:v>La famille a participé à plusieurs sorties communes pendant l'été et en septembre 2013.</x:v>
      </x:c>
      <x:c r="C11" s="40" t="str">
        <x:v>Events id=244, 246, 255, 256, 262, 267</x:v>
      </x:c>
      <x:c r="D11" s="40" t="str">
        <x:v>soutien cumulatif</x:v>
      </x:c>
      <x:c r="E11" s="40" t="str">
        <x:v>Chaque événement soutient une occurrence distincte; ne pas généraliser au-delà des dates documentées.</x:v>
      </x:c>
    </x:row>
    <x:row r="12">
      <x:c r="A12" s="40" t="str">
        <x:v>§9-11</x:v>
      </x:c>
      <x:c r="B12" s="40" t="str">
        <x:v>La demanderesse a organisé une fête d'anniversaire-surprise pour le défendeur.</x:v>
      </x:c>
      <x:c r="C12" s="40" t="str">
        <x:v>PhotoDocument id=5; Events id=312–315; Photos id=4517–4522; piece_event-312.md</x:v>
      </x:c>
      <x:c r="D12" s="40" t="str">
        <x:v>soutien cumulatif</x:v>
      </x:c>
      <x:c r="E12" s="40" t="str">
        <x:v>Les photos individuelles sont omises de l'inventaire final du fichier faits.</x:v>
      </x:c>
    </x:row>
    <x:row r="13">
      <x:c r="A13" s="40" t="str">
        <x:v>§9-12</x:v>
      </x:c>
      <x:c r="B13" s="40" t="str">
        <x:v>Le 19 juillet 2013, le défendeur écrivait voir les enfants tous les jours, souper à la maison et dormir chez ses parents.</x:v>
      </x:c>
      <x:c r="C13" s="40" t="str">
        <x:v>Email id=35</x:v>
      </x:c>
      <x:c r="D13" s="40" t="str">
        <x:v>soutien direct</x:v>
      </x:c>
      <x:c r="E13" s="40" t="str">
        <x:v>Courriel privé du demandeur; authenticité et contexte à établir.</x:v>
      </x:c>
    </x:row>
    <x:row r="14">
      <x:c r="A14" s="40" t="str">
        <x:v>§9-13</x:v>
      </x:c>
      <x:c r="B14" s="40" t="str">
        <x:v>Le séjour chez ses parents était présenté comme temporaire, avec réintégration probable du domicile.</x:v>
      </x:c>
      <x:c r="C14" s="40" t="str">
        <x:v>Email id=35</x:v>
      </x:c>
      <x:c r="D14" s="40" t="str">
        <x:v>soutien direct</x:v>
      </x:c>
      <x:c r="E14" s="40" t="str">
        <x:v>Même courriel que le paragraphe précédent.</x:v>
      </x:c>
    </x:row>
    <x:row r="15">
      <x:c r="A15" s="40" t="str">
        <x:v>§9-14</x:v>
      </x:c>
      <x:c r="B15" s="40" t="str">
        <x:v>Le défendeur expliquait qu'il ne pouvait dormir au sous-sol puisqu'il n'y avait plus de sous-sol.</x:v>
      </x:c>
      <x:c r="C15" s="40" t="str">
        <x:v>Email id=136; P-267</x:v>
      </x:c>
      <x:c r="D15" s="40" t="str">
        <x:v>soutien direct</x:v>
      </x:c>
      <x:c r="E15" s="40" t="str">
        <x:v>P-267 est l'ancienne cote; Email id=136 est la référence interne identifiée.</x:v>
      </x:c>
    </x:row>
    <x:row r="16">
      <x:c r="A16" s="40" t="str">
        <x:v>§9-15</x:v>
      </x:c>
      <x:c r="B16" s="40" t="str">
        <x:v>Le sous-sol avait été démoli après une inondation et n'avait pas été reconstruit.</x:v>
      </x:c>
      <x:c r="C16" s="40" t="str">
        <x:v>PDFDocument id=60; Email id=137</x:v>
      </x:c>
      <x:c r="D16" s="40" t="str">
        <x:v>soutien cumulatif</x:v>
      </x:c>
      <x:c r="E16" s="40" t="str">
        <x:v>À distinguer des rénovations d'un autre paragraphe contesté.</x:v>
      </x:c>
    </x:row>
    <x:row r="17">
      <x:c r="A17" s="40" t="str">
        <x:v>§9-16</x:v>
      </x:c>
      <x:c r="B17" s="40" t="str">
        <x:v>Du 11 au 16 août 2013, le défendeur était à Cape Cod avec Alexia et Nicolas.</x:v>
      </x:c>
      <x:c r="C17" s="40" t="str">
        <x:v>Events id=257–260</x:v>
      </x:c>
      <x:c r="D17" s="40" t="str">
        <x:v>soutien cumulatif</x:v>
      </x:c>
      <x:c r="E17" s="40" t="str">
        <x:v>L'argumentaire indique 10–17 août et inclut la demanderesse; cette divergence doit être vérifiée.</x:v>
      </x:c>
    </x:row>
    <x:row r="18">
      <x:c r="A18" s="40" t="str">
        <x:v>§9-17</x:v>
      </x:c>
      <x:c r="B18" s="40" t="str">
        <x:v>Le 10 septembre 2013, la demanderesse proposait un voyage familial pour quatre dans un hôtel cinq étoiles.</x:v>
      </x:c>
      <x:c r="C18" s="40" t="str">
        <x:v>Emails id=350–352</x:v>
      </x:c>
      <x:c r="D18" s="40" t="str">
        <x:v>soutien cumulatif</x:v>
      </x:c>
      <x:c r="E18" s="40" t="str">
        <x:v>Trois courriels du même fil; pertinence contextuelle à apprécier.</x:v>
      </x:c>
    </x:row>
  </x:sheetData>
  <x:pageMargins left="0.7" right="0.7" top="0.75" bottom="0.75" header="0.3" footer="0.3"/>
  <x:tableParts count="1">
    <x:tablePart xmlns:r="http://schemas.openxmlformats.org/officeDocument/2006/relationships" r:id="Raa900b20bd0a425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62" hidden="0" customWidth="1"/>
    <x:col min="4" max="4" width="58" hidden="0" customWidth="1"/>
  </x:cols>
  <x:sheetData>
    <x:row r="1">
      <x:c r="A1" s="14" t="str">
        <x:v>No</x:v>
      </x:c>
      <x:c r="B1" s="14" t="str">
        <x:v>Anomalie ou omission</x:v>
      </x:c>
      <x:c r="C1" s="14" t="str">
        <x:v>Constat</x:v>
      </x:c>
      <x:c r="D1" s="14" t="str">
        <x:v>Traitement recommandé</x:v>
      </x:c>
    </x:row>
    <x:row r="2">
      <x:c r="A2" s="40" t="str">
        <x:v>A1</x:v>
      </x:c>
      <x:c r="B2" s="40" t="str">
        <x:v>Date de naissance de Nicolas</x:v>
      </x:c>
      <x:c r="C2" s="40" t="str">
        <x:v>Aucune pièce interne précise n'est rattachée au 1er février 2013.</x:v>
      </x:c>
      <x:c r="D2" s="40" t="str">
        <x:v>Identifier un acte de naissance, jugement ou procédure contenant la date.</x:v>
      </x:c>
    </x:row>
    <x:row r="3">
      <x:c r="A3" s="40" t="str">
        <x:v>A2</x:v>
      </x:c>
      <x:c r="B3" s="40" t="str">
        <x:v>Rôle d'entraîneuse</x:v>
      </x:c>
      <x:c r="C3" s="40" t="str">
        <x:v>EmailThread id=159 ne confirme pas directement que la demanderesse était entraîneuse.</x:v>
      </x:c>
      <x:c r="D3" s="40" t="str">
        <x:v>Conserver comme témoignage avec corroboration à obtenir auprès de l'ASSL.</x:v>
      </x:c>
    </x:row>
    <x:row r="4">
      <x:c r="A4" s="40" t="str">
        <x:v>A3</x:v>
      </x:c>
      <x:c r="B4" s="40" t="str">
        <x:v>Cape Cod août 2013</x:v>
      </x:c>
      <x:c r="C4" s="40" t="str">
        <x:v>Argument: 10–17 août, avec la demanderesse; faits/pont: 11–16 août, père avec Alexia et Nicolas.</x:v>
      </x:c>
      <x:c r="D4" s="40" t="str">
        <x:v>Vérifier Events id=257–260 et les anciennes cotes P-273, P-275–P-278 avant fusion.</x:v>
      </x:c>
    </x:row>
    <x:row r="5">
      <x:c r="A5" s="40" t="str">
        <x:v>A4</x:v>
      </x:c>
      <x:c r="B5" s="40" t="str">
        <x:v>Photos 4517–4522</x:v>
      </x:c>
      <x:c r="C5" s="40" t="str">
        <x:v>Citées dans le corps du fichier faits, mais absentes de son inventaire final.</x:v>
      </x:c>
      <x:c r="D5" s="40" t="str">
        <x:v>Ajouter à la liste normalisée ou expliquer qu'elles sont incluses dans PhotoDocument id=5.</x:v>
      </x:c>
    </x:row>
    <x:row r="6">
      <x:c r="A6" s="40" t="str">
        <x:v>A5</x:v>
      </x:c>
      <x:c r="B6" s="40" t="str">
        <x:v>EmailThread pk=26</x:v>
      </x:c>
      <x:c r="C6" s="40" t="str">
        <x:v>Présent dans le récit du fichier faits, mais absent de son inventaire global final.</x:v>
      </x:c>
      <x:c r="D6" s="40" t="str">
        <x:v>Ajouter le fil, distinctement des Emails id=32 et 33.</x:v>
      </x:c>
    </x:row>
    <x:row r="7">
      <x:c r="A7" s="40" t="str">
        <x:v>A6</x:v>
      </x:c>
      <x:c r="B7" s="40" t="str">
        <x:v>Événements non décrits</x:v>
      </x:c>
      <x:c r="C7" s="40" t="str">
        <x:v>Events id=245, 250, 251 et 264 sont inclus dans la plage 241–267 sans description individuelle.</x:v>
      </x:c>
      <x:c r="D7" s="40" t="str">
        <x:v>Examiner les événements avant de leur attribuer une proposition factuelle.</x:v>
      </x:c>
    </x:row>
    <x:row r="8">
      <x:c r="A8" s="40" t="str">
        <x:v>A7</x:v>
      </x:c>
      <x:c r="B8" s="40" t="str">
        <x:v>Event id=63</x:v>
      </x:c>
      <x:c r="C8" s="40" t="str">
        <x:v>Inclus dans la requête DB de l'axe, mais omis de son tableau descriptif.</x:v>
      </x:c>
      <x:c r="D8" s="40" t="str">
        <x:v>Vérifier s'il s'agit d'un doublon, d'une erreur ou d'une pièce pertinente.</x:v>
      </x:c>
    </x:row>
    <x:row r="9">
      <x:c r="A9" s="40" t="str">
        <x:v>A8</x:v>
      </x:c>
      <x:c r="B9" s="40" t="str">
        <x:v>Courriels seulement listés</x:v>
      </x:c>
      <x:c r="C9" s="40" t="str">
        <x:v>Emails id=37, 38, 40, 357, 360–364 et 443–449 sont inventoriés sans résumé de contenu.</x:v>
      </x:c>
      <x:c r="D9" s="40" t="str">
        <x:v>Ne pas leur attribuer un fait précis avant lecture.</x:v>
      </x:c>
    </x:row>
    <x:row r="10">
      <x:c r="A10" s="40" t="str">
        <x:v>A9</x:v>
      </x:c>
      <x:c r="B10" s="40" t="str">
        <x:v>Anciennes cotes P non normalisées</x:v>
      </x:c>
      <x:c r="C10" s="40" t="str">
        <x:v>P-234, P-236, P-238, P-239, P-240 et P-241 n'ont pas de correspondance interne sûre.</x:v>
      </x:c>
      <x:c r="D10" s="40" t="str">
        <x:v>Conserver séparément; ne pas assimiler aux Event id de même numéro.</x:v>
      </x:c>
    </x:row>
    <x:row r="11">
      <x:c r="A11" s="40" t="str">
        <x:v>A10</x:v>
      </x:c>
      <x:c r="B11" s="40" t="str">
        <x:v>P-259</x:v>
      </x:c>
      <x:c r="C11" s="40" t="str">
        <x:v>La description correspond probablement à Event id=254, mais la relation n'est pas expressément confirmée.</x:v>
      </x:c>
      <x:c r="D11" s="40" t="str">
        <x:v>Vérifier la pièce avant normalisation.</x:v>
      </x:c>
    </x:row>
    <x:row r="12">
      <x:c r="A12" s="40" t="str">
        <x:v>A11</x:v>
      </x:c>
      <x:c r="B12" s="40" t="str">
        <x:v>PDF 90 et 91</x:v>
      </x:c>
      <x:c r="C12" s="40" t="str">
        <x:v>Documents récents utilisés pour illustrer une structure de soccer, non pour prouver l'horaire 2013.</x:v>
      </x:c>
      <x:c r="D12" s="40" t="str">
        <x:v>Les qualifier de contexte seulement.</x:v>
      </x:c>
    </x:row>
    <x:row r="13">
      <x:c r="A13" s="40" t="str">
        <x:v>A12</x:v>
      </x:c>
      <x:c r="B13" s="40" t="str">
        <x:v>P-1 / piece_pdf-1.md</x:v>
      </x:c>
      <x:c r="C13" s="40" t="str">
        <x:v>Courriel de nature juridique entre une avocate et sa sœur/cliente potentielle.</x:v>
      </x:c>
      <x:c r="D13" s="40" t="str">
        <x:v>Faire une analyse distincte du secret professionnel, de la renonciation et de l'admissibilité.</x:v>
      </x:c>
    </x:row>
    <x:row r="14">
      <x:c r="A14" s="40" t="str">
        <x:v>A13</x:v>
      </x:c>
      <x:c r="B14" s="40" t="str">
        <x:v>Résumé d'événements</x:v>
      </x:c>
      <x:c r="C14" s="40" t="str">
        <x:v>piece_tableau_recap_evenements.md est une compilation et non nécessairement une preuve autonome de chaque événement.</x:v>
      </x:c>
      <x:c r="D14" s="40" t="str">
        <x:v>Produire ou relier les photos/Events sous-jacents.</x:v>
      </x:c>
    </x:row>
    <x:row r="15">
      <x:c r="A15" s="40" t="str">
        <x:v>A14</x:v>
      </x:c>
      <x:c r="B15" s="40" t="str">
        <x:v>Alias de fils</x:v>
      </x:c>
      <x:c r="C15" s="40" t="str">
        <x:v>EmailThread pk=1, EmailThread id=1 et thread_id=183adb258899dcca semblent désigner le même fil.</x:v>
      </x:c>
      <x:c r="D15" s="40" t="str">
        <x:v>Normaliser ultérieurement, mais conserver les formes exactes dans l'inventaire.</x:v>
      </x:c>
    </x:row>
    <x:row r="16">
      <x:c r="A16" s="40" t="str">
        <x:v>A15</x:v>
      </x:c>
      <x:c r="B16" s="40" t="str">
        <x:v>Reclassification dans l'axe</x:v>
      </x:c>
      <x:c r="C16" s="40" t="str">
        <x:v>Events id=91, 141, 255 et 256 sont retirés de certaines catégories mais restent pertinents ailleurs.</x:v>
      </x:c>
      <x:c r="D16" s="40" t="str">
        <x:v>Ne pas les supprimer de l'union; ajuster seulement leur fonction probatoire.</x:v>
      </x:c>
    </x:row>
    <x:row r="17">
      <x:c r="A17" s="40" t="str">
        <x:v>A16</x:v>
      </x:c>
      <x:c r="B17" s="40" t="str">
        <x:v>Congé de travail été 2013</x:v>
      </x:c>
      <x:c r="C17" s="40" t="str">
        <x:v>Le fichier faits mentionne un élément « à sourcer », sans référence obtenue.</x:v>
      </x:c>
      <x:c r="D17" s="40" t="str">
        <x:v>Ne pas l'inclure comme pièce tant qu'une référence exacte n'est pas identifiée.</x:v>
      </x:c>
    </x:row>
    <x:row r="18">
      <x:c r="A18" s="40" t="str">
        <x:v>A17</x:v>
      </x:c>
      <x:c r="B18" s="40" t="str">
        <x:v>Numérotation de l’axe transversal</x:v>
      </x:c>
      <x:c r="C18" s="40" t="str">
        <x:v>L’axe indique « Doc id=1, stmts 9, 19, 20 », mais son « Stmt 9 » est formulé comme une allégation d’implication minimale, alors que le §9 examiné ici porte sur le départ pendant tout l’été 2013.</x:v>
      </x:c>
      <x:c r="D18" s="40" t="str">
        <x:v>Traiter l’axe comme source transversale/contextuelle et non comme preuve que ses numéros de statement correspondent automatiquement aux paragraphes procéduraux.</x:v>
      </x:c>
    </x:row>
  </x:sheetData>
  <x:pageMargins left="0.7" right="0.7" top="0.75" bottom="0.75" header="0.3" footer="0.3"/>
  <x:tableParts count="1">
    <x:tablePart xmlns:r="http://schemas.openxmlformats.org/officeDocument/2006/relationships" r:id="Rbd30443d720d4bf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0" hidden="0" customWidth="1"/>
    <x:col min="3" max="3" width="75" hidden="0" customWidth="1"/>
  </x:cols>
  <x:sheetData>
    <x:row r="1">
      <x:c r="A1" s="14" t="str">
        <x:v>Référence analytique ou renvoi</x:v>
      </x:c>
      <x:c r="B1" s="14" t="str">
        <x:v>Catégorie</x:v>
      </x:c>
      <x:c r="C1" s="14" t="str">
        <x:v>Motif d'exclusion des pièces probatoires</x:v>
      </x:c>
    </x:row>
    <x:row r="2">
      <x:c r="A2" s="40" t="str">
        <x:v>pont_par9_2015.md</x:v>
      </x:c>
      <x:c r="B2" s="40" t="str">
        <x:v>Document de pont / synthèse</x:v>
      </x:c>
      <x:c r="C2" s="40" t="str">
        <x:v>Organise l'allégation, les faits, les inférences et les pièces; n'est pas une pièce probatoire autonome.</x:v>
      </x:c>
    </x:row>
    <x:row r="3">
      <x:c r="A3" s="40" t="str">
        <x:v>faits_par9_2015.md</x:v>
      </x:c>
      <x:c r="B3" s="40" t="str">
        <x:v>Document de travail factuel</x:v>
      </x:c>
      <x:c r="C3" s="40" t="str">
        <x:v>Registre de faits et inventaire; sauf production comme compilation, il renvoie aux pièces sous-jacentes.</x:v>
      </x:c>
    </x:row>
    <x:row r="4">
      <x:c r="A4" s="40" t="str">
        <x:v>argument paragraphe 9.md</x:v>
      </x:c>
      <x:c r="B4" s="40" t="str">
        <x:v>Analyse argumentative</x:v>
      </x:c>
      <x:c r="C4" s="40" t="str">
        <x:v>Développe une thèse et utilise des anciennes cotes P; n'est pas une pièce factuelle autonome.</x:v>
      </x:c>
    </x:row>
    <x:row r="5">
      <x:c r="A5" s="40" t="str">
        <x:v>Identification des pièces référencées.txt</x:v>
      </x:c>
      <x:c r="B5" s="40" t="str">
        <x:v>Document de relation / synthèse</x:v>
      </x:c>
      <x:c r="C5" s="40" t="str">
        <x:v>Table de correspondance et évaluation du rattachement; non probatoire.</x:v>
      </x:c>
    </x:row>
    <x:row r="6">
      <x:c r="A6" s="40" t="str">
        <x:v>axe_presence_quotidienne_activites.md</x:v>
      </x:c>
      <x:c r="B6" s="40" t="str">
        <x:v>Axe analytique transversal</x:v>
      </x:c>
      <x:c r="C6" s="40" t="str">
        <x:v>Inventaire et analyse de pièces; non probatoire en soi, mais ses Event/Email le sont potentiellement.</x:v>
      </x:c>
    </x:row>
    <x:row r="7">
      <x:c r="A7" s="40" t="str">
        <x:v>code procédures civiles.pdf</x:v>
      </x:c>
      <x:c r="B7" s="40" t="str">
        <x:v>Autorité juridique</x:v>
      </x:c>
      <x:c r="C7" s="40" t="str">
        <x:v>Source de droit, non pièce probatoire sur les faits.</x:v>
      </x:c>
    </x:row>
    <x:row r="8">
      <x:c r="A8" s="40" t="str">
        <x:v>allegation_stmt13_ete2013.md</x:v>
      </x:c>
      <x:c r="B8" s="40" t="str">
        <x:v>Analyse interne</x:v>
      </x:c>
      <x:c r="C8" s="40" t="str">
        <x:v>Renvoi analytique cité dans le fichier faits.</x:v>
      </x:c>
    </x:row>
    <x:row r="9">
      <x:c r="A9" s="40" t="str">
        <x:v>document_de_faits.md</x:v>
      </x:c>
      <x:c r="B9" s="40" t="str">
        <x:v>Document de synthèse interne</x:v>
      </x:c>
      <x:c r="C9" s="40" t="str">
        <x:v>Bloc de faits cité comme renvoi de travail.</x:v>
      </x:c>
    </x:row>
    <x:row r="10">
      <x:c r="A10" s="40" t="str">
        <x:v>these_stabilite_inversee_2015.md</x:v>
      </x:c>
      <x:c r="B10" s="40" t="str">
        <x:v>Thèse juridique/analytique</x:v>
      </x:c>
      <x:c r="C10" s="40" t="str">
        <x:v>Renvoi d'analyse sur la stabilité et la connaissance.</x:v>
      </x:c>
    </x:row>
    <x:row r="11">
      <x:c r="A11" s="40" t="str">
        <x:v>[[feedback-fabrication-revele-la-croyance]]</x:v>
      </x:c>
      <x:c r="B11" s="40" t="str">
        <x:v>Fichier de rétroaction / note de travail</x:v>
      </x:c>
      <x:c r="C11" s="40" t="str">
        <x:v>Renvoi interne analytique.</x:v>
      </x:c>
    </x:row>
    <x:row r="12">
      <x:c r="A12" s="40" t="str">
        <x:v>http://127.0.0.1:8000/events/239/</x:v>
      </x:c>
      <x:c r="B12" s="40" t="str">
        <x:v>Renvoi interne</x:v>
      </x:c>
      <x:c r="C12" s="40" t="str">
        <x:v>Lien applicatif vers Event id=239; ne constitue pas une pièce distincte.</x:v>
      </x:c>
    </x:row>
    <x:row r="13">
      <x:c r="A13" s="40" t="str">
        <x:v>http://127.0.0.1:8000/events/263/</x:v>
      </x:c>
      <x:c r="B13" s="40" t="str">
        <x:v>Renvoi interne</x:v>
      </x:c>
      <x:c r="C13" s="40" t="str">
        <x:v>Lien applicatif vers Event id=263; ne constitue pas une pièce distincte.</x:v>
      </x:c>
    </x:row>
    <x:row r="14">
      <x:c r="A14" s="40" t="str">
        <x:v>http://127.0.0.1:8000/pdfs/pdf/91/</x:v>
      </x:c>
      <x:c r="B14" s="40" t="str">
        <x:v>Renvoi interne</x:v>
      </x:c>
      <x:c r="C14" s="40" t="str">
        <x:v>Lien applicatif vers PDFDocument id=91.</x:v>
      </x:c>
    </x:row>
    <x:row r="15">
      <x:c r="A15" s="40" t="str">
        <x:v>http://127.0.0.1:8000/emails/thread/159/</x:v>
      </x:c>
      <x:c r="B15" s="40" t="str">
        <x:v>Renvoi interne</x:v>
      </x:c>
      <x:c r="C15" s="40" t="str">
        <x:v>Lien applicatif vers EmailThread id=159.</x:v>
      </x:c>
    </x:row>
    <x:row r="16">
      <x:c r="A16" s="40" t="str">
        <x:v>http://127.0.0.1:8000/emails/thread/26/</x:v>
      </x:c>
      <x:c r="B16" s="40" t="str">
        <x:v>Renvoi interne</x:v>
      </x:c>
      <x:c r="C16" s="40" t="str">
        <x:v>Lien applicatif vers EmailThread pk=26.</x:v>
      </x:c>
    </x:row>
    <x:row r="17">
      <x:c r="A17" s="40" t="str">
        <x:v>http://127.0.0.1:8000/pdfs/pdf/90/</x:v>
      </x:c>
      <x:c r="B17" s="40" t="str">
        <x:v>Renvoi interne</x:v>
      </x:c>
      <x:c r="C17" s="40" t="str">
        <x:v>Lien applicatif vers PDFDocument id=90.</x:v>
      </x:c>
    </x:row>
    <x:row r="18">
      <x:c r="A18" s="40" t="str">
        <x:v>http://127.0.0.1:8000/emails/thread/1/</x:v>
      </x:c>
      <x:c r="B18" s="40" t="str">
        <x:v>Renvoi interne</x:v>
      </x:c>
      <x:c r="C18" s="40" t="str">
        <x:v>Lien applicatif vers EmailThread pk=1.</x:v>
      </x:c>
    </x:row>
    <x:row r="19">
      <x:c r="A19" s="40" t="str">
        <x:v>http://127.0.0.1:8000/photos/document/5/</x:v>
      </x:c>
      <x:c r="B19" s="40" t="str">
        <x:v>Renvoi interne</x:v>
      </x:c>
      <x:c r="C19" s="40" t="str">
        <x:v>Lien applicatif vers PhotoDocument id=5.</x:v>
      </x:c>
    </x:row>
  </x:sheetData>
  <x:pageMargins left="0.7" right="0.7" top="0.75" bottom="0.75" header="0.3" footer="0.3"/>
  <x:tableParts count="1">
    <x:tablePart xmlns:r="http://schemas.openxmlformats.org/officeDocument/2006/relationships" r:id="R5bbd0ac4e9034bb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4" hidden="0" customWidth="1"/>
    <x:col min="3" max="3" width="24" hidden="0" customWidth="1"/>
  </x:cols>
  <x:sheetData>
    <x:row r="1">
      <x:c r="A1" s="14" t="str">
        <x:v>Fichier</x:v>
      </x:c>
      <x:c r="B1" s="14" t="str">
        <x:v>Rôle dans l'analyse</x:v>
      </x:c>
      <x:c r="C1" s="14" t="str">
        <x:v>Statut</x:v>
      </x:c>
    </x:row>
    <x:row r="2">
      <x:c r="A2" s="20" t="str">
        <x:v>pont_par9_2015.md</x:v>
      </x:c>
      <x:c r="B2" s="20" t="str">
        <x:v>Index principal : faits plaidables, pièces nécessaires et version procédurale</x:v>
      </x:c>
      <x:c r="C2" s="20" t="str">
        <x:v>analytique</x:v>
      </x:c>
    </x:row>
    <x:row r="3">
      <x:c r="A3" s="20" t="str">
        <x:v>faits_par9_2015.md</x:v>
      </x:c>
      <x:c r="B3" s="20" t="str">
        <x:v>Registre probatoire détaillé et inventaire global</x:v>
      </x:c>
      <x:c r="C3" s="20" t="str">
        <x:v>analytique / inventaire</x:v>
      </x:c>
    </x:row>
    <x:row r="4">
      <x:c r="A4" s="20" t="str">
        <x:v>argument paragraphe 9.md</x:v>
      </x:c>
      <x:c r="B4" s="20" t="str">
        <x:v>Argumentaire employant les anciennes cotes P</x:v>
      </x:c>
      <x:c r="C4" s="20" t="str">
        <x:v>analytique</x:v>
      </x:c>
    </x:row>
    <x:row r="5">
      <x:c r="A5" s="20" t="str">
        <x:v>Identification des pièces référencées.txt</x:v>
      </x:c>
      <x:c r="B5" s="20" t="str">
        <x:v>Relation entre les nomenclatures et contrôle du rattachement</x:v>
      </x:c>
      <x:c r="C5" s="20" t="str">
        <x:v>synthèse</x:v>
      </x:c>
    </x:row>
    <x:row r="6">
      <x:c r="A6" s="20" t="str">
        <x:v>axe_presence_quotidienne_activites.md</x:v>
      </x:c>
      <x:c r="B6" s="20" t="str">
        <x:v>Axe transversal : événements et courriels contextuels</x:v>
      </x:c>
      <x:c r="C6" s="20" t="str">
        <x:v>analytique / inventaire</x:v>
      </x:c>
    </x:row>
    <x:row r="7">
      <x:c r="A7" s="20" t="str">
        <x:v>code procédures civiles.pdf</x:v>
      </x:c>
      <x:c r="B7" s="20" t="str">
        <x:v>Référence juridique; non utilisée comme preuve factuelle</x:v>
      </x:c>
      <x:c r="C7" s="20" t="str">
        <x:v>autorité juridique</x:v>
      </x:c>
    </x:row>
  </x:sheetData>
  <x:pageMargins left="0.7" right="0.7" top="0.75" bottom="0.75" header="0.3" footer="0.3"/>
  <x:tableParts count="1">
    <x:tablePart xmlns:r="http://schemas.openxmlformats.org/officeDocument/2006/relationships" r:id="R556d136ba817481c"/>
  </x:tableParts>
</x:worksheet>
</file>