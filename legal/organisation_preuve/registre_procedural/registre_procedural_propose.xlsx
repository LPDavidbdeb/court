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d4951d5af544229" /></Relationships>
</file>

<file path=xl/workbook.xml><?xml version="1.0" encoding="utf-8"?>
<x:workbook xmlns:x="http://schemas.openxmlformats.org/spreadsheetml/2006/main">
  <x:sheets>
    <x:sheet xmlns:r="http://schemas.openxmlformats.org/officeDocument/2006/relationships" name="Sommaire" sheetId="1" r:id="R36747661e4c84821"/>
    <x:sheet xmlns:r="http://schemas.openxmlformats.org/officeDocument/2006/relationships" name="Registre proposé" sheetId="2" r:id="R08cfa6beb9b24edc"/>
    <x:sheet xmlns:r="http://schemas.openxmlformats.org/officeDocument/2006/relationships" name="Composantes" sheetId="3" r:id="Rb445b172c45b4b83"/>
    <x:sheet xmlns:r="http://schemas.openxmlformats.org/officeDocument/2006/relationships" name="Conflits" sheetId="4" r:id="R1c2e4b6ee6d44a55"/>
    <x:sheet xmlns:r="http://schemas.openxmlformats.org/officeDocument/2006/relationships" name="Alias historiques" sheetId="5" r:id="R4732dfbad3cb4c46"/>
    <x:sheet xmlns:r="http://schemas.openxmlformats.org/officeDocument/2006/relationships" name="Plages collectives" sheetId="6" r:id="R15afb607d06c4ac8"/>
    <x:sheet xmlns:r="http://schemas.openxmlformats.org/officeDocument/2006/relationships" name="Placeholders demande" sheetId="7" r:id="Re35717aef3d14669"/>
    <x:sheet xmlns:r="http://schemas.openxmlformats.org/officeDocument/2006/relationships" name="Index P-43" sheetId="8" r:id="R5711146ffbd742a5"/>
    <x:sheet xmlns:r="http://schemas.openxmlformats.org/officeDocument/2006/relationships" name="Concordance P-43" sheetId="9" r:id="Rbe6d6dc147064fd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
  </x:numFmts>
  <x:fonts count="4">
    <x:font>
      <x:sz val="11"/>
      <x:name val="Carlito"/>
    </x:font>
    <x:font>
      <x:b/>
      <x:sz val="16"/>
      <x:color rgb="FFFFFFFF"/>
      <x:name val="Carlito"/>
    </x:font>
    <x:font>
      <x:b/>
      <x:sz val="11"/>
      <x:color rgb="FFFFFFFF"/>
      <x:name val="Carlito"/>
    </x:font>
    <x:font>
      <x:b/>
      <x:sz val="11"/>
      <x:name val="Carlito"/>
    </x:font>
  </x:fonts>
  <x:fills count="4">
    <x:fill>
      <x:patternFill patternType="none"/>
    </x:fill>
    <x:fill>
      <x:patternFill patternType="gray125"/>
    </x:fill>
    <x:fill>
      <x:patternFill patternType="solid">
        <x:fgColor rgb="FF17365D"/>
      </x:patternFill>
    </x:fill>
    <x:fill>
      <x:patternFill patternType="solid">
        <x:fgColor rgb="FFF4F7FA"/>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2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2" xfId="0" applyNumberFormat="1" applyFont="1" applyFill="1" applyBorder="1" applyAlignment="1">
      <x:alignment vertical="top" wrapText="1"/>
    </x:xf>
    <x:xf numFmtId="0" fontId="0"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vertical="top" wrapText="1"/>
    </x:xf>
    <x:xf numFmtId="0" fontId="0"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0" fillId="0" borderId="1"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3"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cellXfs>
  <x:cellStyles count="1">
    <x:cellStyle name="Normal" xfId="0"/>
  </x:cellStyles>
  <x:dxfs count="5">
    <x:dxf>
      <x:fill>
        <x:patternFill patternType="solid">
          <x:bgColor rgb="FFE2F0D9"/>
        </x:patternFill>
      </x:fill>
    </x:dxf>
    <x:dxf>
      <x:fill>
        <x:patternFill patternType="solid">
          <x:bgColor rgb="FFFFF2CC"/>
        </x:patternFill>
      </x:fill>
    </x:dxf>
    <x:dxf>
      <x:fill>
        <x:patternFill patternType="solid">
          <x:bgColor rgb="FFFCE4D6"/>
        </x:patternFill>
      </x:fill>
    </x:dxf>
    <x:dxf>
      <x:fill>
        <x:patternFill patternType="solid">
          <x:bgColor rgb="FFFCE4D6"/>
        </x:patternFill>
      </x:fill>
    </x:dxf>
    <x:dxf>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37ea0ab11c4247" /><Relationship Type="http://schemas.openxmlformats.org/officeDocument/2006/relationships/theme" Target="/xl/theme/theme1.xml" Id="Rb4bd0c900f734469" /><Relationship Type="http://schemas.microsoft.com/office/2022/11/relationships/FeaturePropertyBag" Target="/xl/featurePropertyBag/featurePropertyBag.xml" Id="R3670312874624d73" /><Relationship Type="http://schemas.openxmlformats.org/officeDocument/2006/relationships/sharedStrings" Target="/xl/sharedStrings.xml" Id="R400d1898a5354d21" /><Relationship Type="http://schemas.openxmlformats.org/officeDocument/2006/relationships/worksheet" Target="/xl/worksheets/sheet1.xml" Id="R36747661e4c84821" /><Relationship Type="http://schemas.openxmlformats.org/officeDocument/2006/relationships/worksheet" Target="/xl/worksheets/sheet2.xml" Id="R08cfa6beb9b24edc" /><Relationship Type="http://schemas.openxmlformats.org/officeDocument/2006/relationships/worksheet" Target="/xl/worksheets/sheet3.xml" Id="Rb445b172c45b4b83" /><Relationship Type="http://schemas.openxmlformats.org/officeDocument/2006/relationships/worksheet" Target="/xl/worksheets/sheet4.xml" Id="R1c2e4b6ee6d44a55" /><Relationship Type="http://schemas.openxmlformats.org/officeDocument/2006/relationships/worksheet" Target="/xl/worksheets/sheet5.xml" Id="R4732dfbad3cb4c46" /><Relationship Type="http://schemas.openxmlformats.org/officeDocument/2006/relationships/worksheet" Target="/xl/worksheets/sheet6.xml" Id="R15afb607d06c4ac8" /><Relationship Type="http://schemas.openxmlformats.org/officeDocument/2006/relationships/worksheet" Target="/xl/worksheets/sheet7.xml" Id="Re35717aef3d14669" /><Relationship Type="http://schemas.openxmlformats.org/officeDocument/2006/relationships/worksheet" Target="/xl/worksheets/sheet8.xml" Id="R5711146ffbd742a5" /><Relationship Type="http://schemas.openxmlformats.org/officeDocument/2006/relationships/worksheet" Target="/xl/worksheets/sheet9.xml" Id="Rbe6d6dc147064fd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gistrePropose" displayName="RegistrePropose" ref="A3:K46" headerRowCount="1" totalsRowCount="0" totalsRowShown="0">
  <x:tableColumns count="11">
    <x:tableColumn id="1" name="Cote proposée"/>
    <x:tableColumn id="2" name="Date"/>
    <x:tableColumn id="3" name="Description"/>
    <x:tableColumn id="4" name="Référence d’appui"/>
    <x:tableColumn id="5" name="Source base"/>
    <x:tableColumn id="6" name="État"/>
    <x:tableColumn id="7" name="Composantes"/>
    <x:tableColumn id="8" name="Clés canoniques"/>
    <x:tableColumn id="9" name="Non résolues"/>
    <x:tableColumn id="10" name="Liasse"/>
    <x:tableColumn id="11" name="Ligne bordereau"/>
  </x:tableColumns>
  <x:tableStyleInfo name="TableStyleMedium2" showFirstColumn="0" showLastColumn="0" showRowStripes="1" showColumnStripes="0"/>
</x:table>
</file>

<file path=xl/tables/table2.xml><?xml version="1.0" encoding="utf-8"?>
<x:table xmlns:x="http://schemas.openxmlformats.org/spreadsheetml/2006/main" id="2" name="ComposantesCotes" displayName="ComposantesCotes" ref="A3:J88" headerRowCount="1" totalsRowCount="0" totalsRowShown="0">
  <x:tableColumns count="10">
    <x:tableColumn id="1" name="Cote"/>
    <x:tableColumn id="2" name="Ordre"/>
    <x:tableColumn id="3" name="Clé canonique"/>
    <x:tableColumn id="4" name="Modèle"/>
    <x:tableColumn id="5" name="PK"/>
    <x:tableColumn id="6" name="État Django"/>
    <x:tableColumn id="7" name="État original"/>
    <x:tableColumn id="8" name="Date objet"/>
    <x:tableColumn id="9" name="Titre"/>
    <x:tableColumn id="10" name="Référence d’appui"/>
  </x:tableColumns>
  <x:tableStyleInfo name="TableStyleMedium2" showFirstColumn="0" showLastColumn="0" showRowStripes="1" showColumnStripes="0"/>
</x:table>
</file>

<file path=xl/tables/table3.xml><?xml version="1.0" encoding="utf-8"?>
<x:table xmlns:x="http://schemas.openxmlformats.org/spreadsheetml/2006/main" id="3" name="AliasHistoriques" displayName="AliasHistoriques" ref="A3:E74" headerRowCount="1" totalsRowCount="0" totalsRowShown="0">
  <x:tableColumns count="5">
    <x:tableColumn id="1" name="Alias historique"/>
    <x:tableColumn id="2" name="État"/>
    <x:tableColumn id="3" name="Candidats"/>
    <x:tableColumn id="4" name="Candidats canoniques"/>
    <x:tableColumn id="5" name="Sources"/>
  </x:tableColumns>
  <x:tableStyleInfo name="TableStyleMedium2" showFirstColumn="0" showLastColumn="0" showRowStripes="1" showColumnStripes="0"/>
</x:table>
</file>

<file path=xl/tables/table4.xml><?xml version="1.0" encoding="utf-8"?>
<x:table xmlns:x="http://schemas.openxmlformats.org/spreadsheetml/2006/main" id="4" name="PlagesCollectives" displayName="PlagesCollectives" ref="A3:G180" headerRowCount="1" totalsRowCount="0" totalsRowShown="0">
  <x:tableColumns count="7">
    <x:tableColumn id="1" name="Référence collective"/>
    <x:tableColumn id="2" name="Modèle"/>
    <x:tableColumn id="3" name="PK proposé"/>
    <x:tableColumn id="4" name="Clé canonique"/>
    <x:tableColumn id="5" name="État Django"/>
    <x:tableColumn id="6" name="État expansion"/>
    <x:tableColumn id="7" name="Fichiers sources"/>
  </x:tableColumns>
  <x:tableStyleInfo name="TableStyleMedium2" showFirstColumn="0" showLastColumn="0" showRowStripes="1" showColumnStripes="0"/>
</x:table>
</file>

<file path=xl/tables/table5.xml><?xml version="1.0" encoding="utf-8"?>
<x:table xmlns:x="http://schemas.openxmlformats.org/spreadsheetml/2006/main" id="5" name="PlaceholdersDemande" displayName="PlaceholdersDemande" ref="A3:I104" headerRowCount="1" totalsRowCount="0" totalsRowShown="0">
  <x:tableColumns count="9">
    <x:tableColumn id="1" name="Ligne"/>
    <x:tableColumn id="2" name="Paragraphe"/>
    <x:tableColumn id="3" name="Section"/>
    <x:tableColumn id="4" name="Placeholder"/>
    <x:tableColumn id="5" name="Occurrence"/>
    <x:tableColumn id="6" name="État"/>
    <x:tableColumn id="7" name="Cote proposée"/>
    <x:tableColumn id="8" name="Fondement"/>
    <x:tableColumn id="9" name="Contexte"/>
  </x:tableColumns>
  <x:tableStyleInfo name="TableStyleMedium2" showFirstColumn="0" showLastColumn="0" showRowStripes="1" showColumnStripes="0"/>
</x:table>
</file>

<file path=xl/tables/table6.xml><?xml version="1.0" encoding="utf-8"?>
<x:table xmlns:x="http://schemas.openxmlformats.org/spreadsheetml/2006/main" id="6" name="IndexP43" displayName="IndexP43" ref="A3:J22" headerRowCount="1" totalsRowCount="0" totalsRowShown="0">
  <x:tableColumns count="10">
    <x:tableColumn id="1" name="sub_cote"/>
    <x:tableColumn id="2" name="occurrence_order"/>
    <x:tableColumn id="3" name="date"/>
    <x:tableColumn id="4" name="description"/>
    <x:tableColumn id="5" name="component_order"/>
    <x:tableColumn id="6" name="canonical_key"/>
    <x:tableColumn id="7" name="role"/>
    <x:tableColumn id="8" name="original_filename"/>
    <x:tableColumn id="9" name="pleading_paragraphs"/>
    <x:tableColumn id="10" name="counted_occurrence"/>
  </x:tableColumns>
  <x:tableStyleInfo name="TableStyleMedium2" showFirstColumn="0" showLastColumn="0" showRowStripes="1" showColumnStripes="0"/>
</x:table>
</file>

<file path=xl/tables/table7.xml><?xml version="1.0" encoding="utf-8"?>
<x:table xmlns:x="http://schemas.openxmlformats.org/spreadsheetml/2006/main" id="7" name="ConcordanceP43" displayName="ConcordanceP43" ref="A3:E15" headerRowCount="1" totalsRowCount="0" totalsRowShown="0">
  <x:tableColumns count="5">
    <x:tableColumn id="1" name="paragraph"/>
    <x:tableColumn id="2" name="proposition"/>
    <x:tableColumn id="3" name="sub_cotes"/>
    <x:tableColumn id="4" name="occurrence_count"/>
    <x:tableColumn id="5"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218fd7fb35c47c5" /></Relationships>
</file>

<file path=xl/worksheets/_rels/sheet3.xml.rels>&#65279;<?xml version="1.0" encoding="utf-8"?><Relationships xmlns="http://schemas.openxmlformats.org/package/2006/relationships"><Relationship Type="http://schemas.openxmlformats.org/officeDocument/2006/relationships/table" Target="/xl/tables/table2.xml" Id="Rd9fa15b092434a2a" /></Relationships>
</file>

<file path=xl/worksheets/_rels/sheet5.xml.rels>&#65279;<?xml version="1.0" encoding="utf-8"?><Relationships xmlns="http://schemas.openxmlformats.org/package/2006/relationships"><Relationship Type="http://schemas.openxmlformats.org/officeDocument/2006/relationships/table" Target="/xl/tables/table3.xml" Id="R2c3196b2447c4473" /></Relationships>
</file>

<file path=xl/worksheets/_rels/sheet6.xml.rels>&#65279;<?xml version="1.0" encoding="utf-8"?><Relationships xmlns="http://schemas.openxmlformats.org/package/2006/relationships"><Relationship Type="http://schemas.openxmlformats.org/officeDocument/2006/relationships/table" Target="/xl/tables/table4.xml" Id="Rc81e47b73690413f" /></Relationships>
</file>

<file path=xl/worksheets/_rels/sheet7.xml.rels>&#65279;<?xml version="1.0" encoding="utf-8"?><Relationships xmlns="http://schemas.openxmlformats.org/package/2006/relationships"><Relationship Type="http://schemas.openxmlformats.org/officeDocument/2006/relationships/table" Target="/xl/tables/table5.xml" Id="R41f651395be14023" /></Relationships>
</file>

<file path=xl/worksheets/_rels/sheet8.xml.rels>&#65279;<?xml version="1.0" encoding="utf-8"?><Relationships xmlns="http://schemas.openxmlformats.org/package/2006/relationships"><Relationship Type="http://schemas.openxmlformats.org/officeDocument/2006/relationships/table" Target="/xl/tables/table6.xml" Id="R6b25a9a88ba44e6f" /></Relationships>
</file>

<file path=xl/worksheets/_rels/sheet9.xml.rels>&#65279;<?xml version="1.0" encoding="utf-8"?><Relationships xmlns="http://schemas.openxmlformats.org/package/2006/relationships"><Relationship Type="http://schemas.openxmlformats.org/officeDocument/2006/relationships/table" Target="/xl/tables/table7.xml" Id="R03b20b84e98c4601"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4" max="4" width="28" hidden="0" customWidth="1"/>
    <x:col min="5" max="5" width="14" hidden="0" customWidth="1"/>
    <x:col min="6" max="6" width="42" hidden="0" customWidth="1"/>
    <x:col min="7" max="7" width="42" hidden="0" customWidth="1"/>
    <x:col min="8" max="8" width="16" hidden="0" customWidth="1"/>
  </x:cols>
  <x:sheetData>
    <x:row r="1" ht="28" customHeight="1">
      <x:c r="A1" s="2" t="str">
        <x:v>Registre procédural proposé — coordination de la preuve</x:v>
      </x:c>
      <x:c r="B1" s="2" t="str">
        <x:v>Registre procédural proposé — coordination de la preuve</x:v>
      </x:c>
      <x:c r="C1" s="2" t="str">
        <x:v>Registre procédural proposé — coordination de la preuve</x:v>
      </x:c>
      <x:c r="D1" s="2" t="str">
        <x:v>Registre procédural proposé — coordination de la preuve</x:v>
      </x:c>
      <x:c r="E1" s="2" t="str">
        <x:v>Registre procédural proposé — coordination de la preuve</x:v>
      </x:c>
      <x:c r="F1" s="2" t="str">
        <x:v>Registre procédural proposé — coordination de la preuve</x:v>
      </x:c>
      <x:c r="G1" s="2" t="str">
        <x:v>Registre procédural proposé — coordination de la preuve</x:v>
      </x:c>
      <x:c r="H1" s="2" t="str">
        <x:v>Registre procédural proposé — coordination de la preuve</x:v>
      </x:c>
    </x:row>
    <x:row r="3" ht="30" customHeight="1">
      <x:c r="A3" s="4" t="str">
        <x:v>Indicateur</x:v>
      </x:c>
      <x:c r="B3" s="4" t="str">
        <x:v>Valeur</x:v>
      </x:c>
      <x:c r="D3" s="4" t="str">
        <x:v>Verrou</x:v>
      </x:c>
      <x:c r="E3" s="4" t="str">
        <x:v>Valeur</x:v>
      </x:c>
      <x:c r="F3" s="4" t="str">
        <x:v>Interprétation</x:v>
      </x:c>
      <x:c r="G3" s="4" t="str">
        <x:v>Action</x:v>
      </x:c>
      <x:c r="H3" s="4" t="str">
        <x:v>Statut</x:v>
      </x:c>
    </x:row>
    <x:row r="4">
      <x:c r="A4" s="20" t="str">
        <x:v>Cotes proposées</x:v>
      </x:c>
      <x:c r="B4" t="n">
        <x:f>COUNTA('Registre proposé'!$A$4:$A$46)</x:f>
        <x:v>43</x:v>
      </x:c>
      <x:c r="D4" t="str">
        <x:v>Cotes du bordereau</x:v>
      </x:c>
      <x:c r="E4" t="n">
        <x:v>43</x:v>
      </x:c>
      <x:c r="F4" t="str">
        <x:v>Toutes résolues vers Django</x:v>
      </x:c>
      <x:c r="G4" t="str">
        <x:v>Réviser avant gel</x:v>
      </x:c>
      <x:c r="H4" t="str">
        <x:v>proposé</x:v>
      </x:c>
    </x:row>
    <x:row r="5">
      <x:c r="A5" s="20" t="str">
        <x:v>Cotes résolues</x:v>
      </x:c>
      <x:c r="B5" t="n">
        <x:f>COUNTIF('Registre proposé'!$F$4:$F$46,"resolved")</x:f>
        <x:v>43</x:v>
      </x:c>
      <x:c r="D5" t="str">
        <x:v>Conflit de duplication</x:v>
      </x:c>
      <x:c r="E5" t="n">
        <x:v>0</x:v>
      </x:c>
      <x:c r="F5" t="str">
        <x:v>Aucun tuple sous plusieurs cotes</x:v>
      </x:c>
      <x:c r="G5" t="str">
        <x:v>Maintenir une seule cote par source</x:v>
      </x:c>
      <x:c r="H5" t="str">
        <x:v>résolu</x:v>
      </x:c>
    </x:row>
    <x:row r="6">
      <x:c r="A6" s="20" t="str">
        <x:v>Liasses</x:v>
      </x:c>
      <x:c r="B6" t="n">
        <x:f>COUNTIF('Registre proposé'!$G$4:$G$46,"&gt;1")</x:f>
        <x:v>5</x:v>
      </x:c>
      <x:c r="D6" t="str">
        <x:v>DA-2019</x:v>
      </x:c>
      <x:c r="E6" t="n">
        <x:v>0</x:v>
      </x:c>
      <x:c r="F6" t="str">
        <x:v>Document:3 coté P-42</x:v>
      </x:c>
      <x:c r="G6" t="str">
        <x:v>Correspondance intégrée</x:v>
      </x:c>
      <x:c r="H6" t="str">
        <x:v>résolu</x:v>
      </x:c>
    </x:row>
    <x:row r="7">
      <x:c r="A7" s="20" t="str">
        <x:v>Composantes</x:v>
      </x:c>
      <x:c r="B7" t="n">
        <x:f>COUNTA('Composantes'!$A$4:$A$88)</x:f>
        <x:v>85</x:v>
      </x:c>
      <x:c r="D7" t="str">
        <x:v>Départ 23 février</x:v>
      </x:c>
      <x:c r="E7" t="n">
        <x:v>0</x:v>
      </x:c>
      <x:c r="F7" t="str">
        <x:v>PDFDocument:3 déjà coté P-9</x:v>
      </x:c>
      <x:c r="G7" t="str">
        <x:v>Correspondance intégrée</x:v>
      </x:c>
      <x:c r="H7" t="str">
        <x:v>résolu</x:v>
      </x:c>
    </x:row>
    <x:row r="8">
      <x:c r="A8" s="20" t="str">
        <x:v>Conflits tuple/cotes</x:v>
      </x:c>
      <x:c r="B8" t="n">
        <x:f>COUNTA('Conflits'!$A$4:$A$4)</x:f>
        <x:v>0</x:v>
      </x:c>
      <x:c r="D8" t="str">
        <x:v>Plages collectives</x:v>
      </x:c>
      <x:c r="E8" t="n">
        <x:v>177</x:v>
      </x:c>
      <x:c r="F8" t="str">
        <x:v>Développements proposés seulement</x:v>
      </x:c>
      <x:c r="G8" t="str">
        <x:v>Valider les séries avant inclusion</x:v>
      </x:c>
      <x:c r="H8" t="str">
        <x:v>révision</x:v>
      </x:c>
    </x:row>
    <x:row r="9">
      <x:c r="A9" s="20" t="str">
        <x:v>Alias historiques</x:v>
      </x:c>
      <x:c r="B9" t="n">
        <x:f>COUNTA('Alias historiques'!$A$4:$A$74)</x:f>
        <x:v>71</x:v>
      </x:c>
    </x:row>
    <x:row r="10">
      <x:c r="A10" s="20" t="str">
        <x:v>Alias historiques résolus</x:v>
      </x:c>
      <x:c r="B10" t="n">
        <x:f>COUNTIF('Alias historiques'!$B$4:$B$74,"resolved")</x:f>
        <x:v>28</x:v>
      </x:c>
    </x:row>
    <x:row r="11">
      <x:c r="A11" s="20" t="str">
        <x:v>Placeholders restants</x:v>
      </x:c>
      <x:c r="B11" t="n">
        <x:f>COUNTA('Placeholders demande'!$A$4:$A$104)</x:f>
        <x:v>101</x:v>
      </x:c>
    </x:row>
    <x:row r="12">
      <x:c r="A12" s="20" t="str">
        <x:v>Correspondances fortes restantes</x:v>
      </x:c>
      <x:c r="B12" t="n">
        <x:f>COUNTIF('Placeholders demande'!$F$4:$F$104,"proposed_strong")</x:f>
        <x:v>0</x:v>
      </x:c>
    </x:row>
    <x:row r="13">
      <x:c r="A13" s="20" t="str">
        <x:v>Placeholders nécessitant contexte</x:v>
      </x:c>
      <x:c r="B13" t="n">
        <x:f>COUNTIF('Placeholders demande'!$F$4:$F$104,"context_required")</x:f>
        <x:v>101</x:v>
      </x:c>
    </x:row>
    <x:row r="14">
      <x:c r="A14" s="20" t="str">
        <x:v>Occurrences DA-2019 sans cote</x:v>
      </x:c>
      <x:c r="B14" t="n">
        <x:f>COUNTIF('Placeholders demande'!$F$4:$F$104,"missing_from_bordereau")</x:f>
        <x:v>0</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48" hidden="0" customWidth="1"/>
    <x:col min="4" max="4" width="48" hidden="0" customWidth="1"/>
    <x:col min="5" max="5" width="22" hidden="0" customWidth="1"/>
    <x:col min="6" max="6" width="16" hidden="0" customWidth="1"/>
    <x:col min="7" max="7" width="13" hidden="0" customWidth="1"/>
    <x:col min="8" max="8" width="62" hidden="0" customWidth="1"/>
    <x:col min="9" max="9" width="35" hidden="0" customWidth="1"/>
    <x:col min="10" max="10" width="10" hidden="0" customWidth="1"/>
    <x:col min="11" max="11" width="14" hidden="0" customWidth="1"/>
  </x:cols>
  <x:sheetData>
    <x:row r="1" ht="28" customHeight="1">
      <x:c r="A1" s="2" t="str">
        <x:v>Registre proposé</x:v>
      </x:c>
      <x:c r="B1" s="2" t="str">
        <x:v>Registre proposé</x:v>
      </x:c>
      <x:c r="C1" s="2" t="str">
        <x:v>Registre proposé</x:v>
      </x:c>
      <x:c r="D1" s="2" t="str">
        <x:v>Registre proposé</x:v>
      </x:c>
      <x:c r="E1" s="2" t="str">
        <x:v>Registre proposé</x:v>
      </x:c>
      <x:c r="F1" s="2" t="str">
        <x:v>Registre proposé</x:v>
      </x:c>
      <x:c r="G1" s="2" t="str">
        <x:v>Registre proposé</x:v>
      </x:c>
      <x:c r="H1" s="2" t="str">
        <x:v>Registre proposé</x:v>
      </x:c>
      <x:c r="I1" s="2" t="str">
        <x:v>Registre proposé</x:v>
      </x:c>
      <x:c r="J1" s="2" t="str">
        <x:v>Registre proposé</x:v>
      </x:c>
      <x:c r="K1" s="2" t="str">
        <x:v>Registre proposé</x:v>
      </x:c>
    </x:row>
    <x:row r="3" ht="30" customHeight="1">
      <x:c r="A3" s="4" t="str">
        <x:v>Cote proposée</x:v>
      </x:c>
      <x:c r="B3" s="4" t="str">
        <x:v>Date</x:v>
      </x:c>
      <x:c r="C3" s="4" t="str">
        <x:v>Description</x:v>
      </x:c>
      <x:c r="D3" s="4" t="str">
        <x:v>Référence d’appui</x:v>
      </x:c>
      <x:c r="E3" s="4" t="str">
        <x:v>Source base</x:v>
      </x:c>
      <x:c r="F3" s="4" t="str">
        <x:v>État</x:v>
      </x:c>
      <x:c r="G3" s="4" t="str">
        <x:v>Composantes</x:v>
      </x:c>
      <x:c r="H3" s="4" t="str">
        <x:v>Clés canoniques</x:v>
      </x:c>
      <x:c r="I3" s="4" t="str">
        <x:v>Non résolues</x:v>
      </x:c>
      <x:c r="J3" s="4" t="str">
        <x:v>Liasse</x:v>
      </x:c>
      <x:c r="K3" s="4" t="str">
        <x:v>Ligne bordereau</x:v>
      </x:c>
    </x:row>
    <x:row r="4">
      <x:c r="A4" s="10" t="str">
        <x:v>P-1</x:v>
      </x:c>
      <x:c r="B4" s="10" t="str">
        <x:v>2009</x:v>
      </x:c>
      <x:c r="C4" s="10" t="str">
        <x:v>Dossier RQAP du demandeur (naissance d'Alexia)</x:v>
      </x:c>
      <x:c r="D4" s="10" t="str">
        <x:v>piece_photo-4558</x:v>
      </x:c>
      <x:c r="E4" s="10" t="str">
        <x:v>photo</x:v>
      </x:c>
      <x:c r="F4" s="10" t="str">
        <x:v>resolved</x:v>
      </x:c>
      <x:c r="G4" s="10" t="n">
        <x:v>1</x:v>
      </x:c>
      <x:c r="H4" s="10" t="str">
        <x:v>Photo:4558</x:v>
      </x:c>
      <x:c r="I4" s="10" t="str"/>
      <x:c r="J4" s="11" t="b">
        <x:v>0</x:v>
      </x:c>
      <x:c r="K4" s="10" t="n">
        <x:v>9</x:v>
      </x:c>
    </x:row>
    <x:row r="5">
      <x:c r="A5" s="12" t="str">
        <x:v>P-2</x:v>
      </x:c>
      <x:c r="B5" s="12" t="str">
        <x:v>11 juin 2013</x:v>
      </x:c>
      <x:c r="C5" s="12" t="str">
        <x:v>Courriel Me Ayoub → Élise (le « plan »)</x:v>
      </x:c>
      <x:c r="D5" s="12" t="str">
        <x:v>piece_pdf-1</x:v>
      </x:c>
      <x:c r="E5" s="12" t="str">
        <x:v>pdf-1</x:v>
      </x:c>
      <x:c r="F5" s="12" t="str">
        <x:v>resolved</x:v>
      </x:c>
      <x:c r="G5" s="12" t="n">
        <x:v>1</x:v>
      </x:c>
      <x:c r="H5" s="12" t="str">
        <x:v>PDFDocument:1</x:v>
      </x:c>
      <x:c r="I5" s="12" t="str"/>
      <x:c r="J5" s="13" t="b">
        <x:v>0</x:v>
      </x:c>
      <x:c r="K5" s="12" t="n">
        <x:v>10</x:v>
      </x:c>
    </x:row>
    <x:row r="6">
      <x:c r="A6" s="12" t="str">
        <x:v>P-3</x:v>
      </x:c>
      <x:c r="B6" s="12" t="str">
        <x:v>26 juin 2013</x:v>
      </x:c>
      <x:c r="C6" s="12" t="str">
        <x:v>Courriel LP → Me Suzanne Pringle</x:v>
      </x:c>
      <x:c r="D6" s="12" t="str">
        <x:v>piece_thread-89_email-365</x:v>
      </x:c>
      <x:c r="E6" s="12" t="str">
        <x:v>email-365</x:v>
      </x:c>
      <x:c r="F6" s="12" t="str">
        <x:v>resolved</x:v>
      </x:c>
      <x:c r="G6" s="12" t="n">
        <x:v>1</x:v>
      </x:c>
      <x:c r="H6" s="12" t="str">
        <x:v>Email:365</x:v>
      </x:c>
      <x:c r="I6" s="12" t="str"/>
      <x:c r="J6" s="13" t="b">
        <x:v>0</x:v>
      </x:c>
      <x:c r="K6" s="12" t="n">
        <x:v>11</x:v>
      </x:c>
    </x:row>
    <x:row r="7">
      <x:c r="A7" s="12" t="str">
        <x:v>P-4</x:v>
      </x:c>
      <x:c r="B7" s="12" t="str">
        <x:v>30 juin 2013</x:v>
      </x:c>
      <x:c r="C7" s="12" t="str">
        <x:v>Échange « chalet » LP ↔ Élise</x:v>
      </x:c>
      <x:c r="D7" s="12" t="str">
        <x:v>piece_thread-109</x:v>
      </x:c>
      <x:c r="E7" s="12" t="str">
        <x:v>thread-109</x:v>
      </x:c>
      <x:c r="F7" s="12" t="str">
        <x:v>resolved</x:v>
      </x:c>
      <x:c r="G7" s="12" t="n">
        <x:v>1</x:v>
      </x:c>
      <x:c r="H7" s="12" t="str">
        <x:v>EmailThread:109</x:v>
      </x:c>
      <x:c r="I7" s="12" t="str"/>
      <x:c r="J7" s="13" t="b">
        <x:v>0</x:v>
      </x:c>
      <x:c r="K7" s="12" t="n">
        <x:v>12</x:v>
      </x:c>
    </x:row>
    <x:row r="8">
      <x:c r="A8" s="12" t="str">
        <x:v>P-5</x:v>
      </x:c>
      <x:c r="B8" s="12" t="str">
        <x:v>16 juin–16 août 2013</x:v>
      </x:c>
      <x:c r="C8" s="12" t="str">
        <x:v>Cape Cod 2013 — sans Alexia les 16–17 juin; avec Alexia et Nicolas du 11 au 16 août</x:v>
      </x:c>
      <x:c r="D8" s="12" t="str">
        <x:v>Events id=242, 243, 257, 258, 259, 260</x:v>
      </x:c>
      <x:c r="E8" s="12" t="str">
        <x:v>events-242/243/257/258/259/260 (liasse)</x:v>
      </x:c>
      <x:c r="F8" s="12" t="str">
        <x:v>resolved</x:v>
      </x:c>
      <x:c r="G8" s="12" t="n">
        <x:v>6</x:v>
      </x:c>
      <x:c r="H8" s="12" t="str">
        <x:v>Event:242 | Event:243 | Event:257 | Event:258 | Event:259 | Event:260</x:v>
      </x:c>
      <x:c r="I8" s="12" t="str"/>
      <x:c r="J8" s="13" t="b">
        <x:v>1</x:v>
      </x:c>
      <x:c r="K8" s="12" t="n">
        <x:v>13</x:v>
      </x:c>
    </x:row>
    <x:row r="9">
      <x:c r="A9" s="12" t="str">
        <x:v>P-6</x:v>
      </x:c>
      <x:c r="B9" s="12" t="str">
        <x:v>27 févr. 2015</x:v>
      </x:c>
      <x:c r="C9" s="12" t="str">
        <x:v>Courriel LP → Élise (réf. au plan)</x:v>
      </x:c>
      <x:c r="D9" s="12" t="str">
        <x:v>piece_thread-18_email-163</x:v>
      </x:c>
      <x:c r="E9" s="12" t="str">
        <x:v>email-163</x:v>
      </x:c>
      <x:c r="F9" s="12" t="str">
        <x:v>resolved</x:v>
      </x:c>
      <x:c r="G9" s="12" t="n">
        <x:v>1</x:v>
      </x:c>
      <x:c r="H9" s="12" t="str">
        <x:v>Email:163</x:v>
      </x:c>
      <x:c r="I9" s="12" t="str"/>
      <x:c r="J9" s="13" t="b">
        <x:v>0</x:v>
      </x:c>
      <x:c r="K9" s="12" t="n">
        <x:v>14</x:v>
      </x:c>
    </x:row>
    <x:row r="10">
      <x:c r="A10" s="12" t="str">
        <x:v>P-7</x:v>
      </x:c>
      <x:c r="B10" s="12" t="str">
        <x:v>4 mars 2015</x:v>
      </x:c>
      <x:c r="C10" s="12" t="str">
        <x:v>Première offre de garde partagée (ébauche Poirier)</x:v>
      </x:c>
      <x:c r="D10" s="12" t="str">
        <x:v>piece_pdf-2</x:v>
      </x:c>
      <x:c r="E10" s="12" t="str">
        <x:v>pdf-2</x:v>
      </x:c>
      <x:c r="F10" s="12" t="str">
        <x:v>resolved</x:v>
      </x:c>
      <x:c r="G10" s="12" t="n">
        <x:v>1</x:v>
      </x:c>
      <x:c r="H10" s="12" t="str">
        <x:v>PDFDocument:2</x:v>
      </x:c>
      <x:c r="I10" s="12" t="str"/>
      <x:c r="J10" s="13" t="b">
        <x:v>0</x:v>
      </x:c>
      <x:c r="K10" s="12" t="n">
        <x:v>15</x:v>
      </x:c>
    </x:row>
    <x:row r="11">
      <x:c r="A11" s="12" t="str">
        <x:v>P-8</x:v>
      </x:c>
      <x:c r="B11" s="12" t="str">
        <x:v>7 avril 2015</x:v>
      </x:c>
      <x:c r="C11" s="12" t="str">
        <x:v>iMessages du demandeur (transférés le 21 avril)</x:v>
      </x:c>
      <x:c r="D11" s="12" t="str">
        <x:v>piece_p2_messages_7avril2015</x:v>
      </x:c>
      <x:c r="E11" s="12" t="str">
        <x:v>photo (P-2 Requête)</x:v>
      </x:c>
      <x:c r="F11" s="12" t="str">
        <x:v>resolved</x:v>
      </x:c>
      <x:c r="G11" s="12" t="n">
        <x:v>1</x:v>
      </x:c>
      <x:c r="H11" s="12" t="str">
        <x:v>Photo:4526</x:v>
      </x:c>
      <x:c r="I11" s="12" t="str"/>
      <x:c r="J11" s="13" t="b">
        <x:v>0</x:v>
      </x:c>
      <x:c r="K11" s="12" t="n">
        <x:v>16</x:v>
      </x:c>
    </x:row>
    <x:row r="12">
      <x:c r="A12" s="12" t="str">
        <x:v>P-9</x:v>
      </x:c>
      <x:c r="B12" s="12" t="str">
        <x:v>27 avril 2015</x:v>
      </x:c>
      <x:c r="C12" s="12" t="str">
        <x:v>Lettre Me Ayoub → Me Poirier</x:v>
      </x:c>
      <x:c r="D12" s="12" t="str">
        <x:v>piece_pdf-3</x:v>
      </x:c>
      <x:c r="E12" s="12" t="str">
        <x:v>pdf-3</x:v>
      </x:c>
      <x:c r="F12" s="12" t="str">
        <x:v>resolved</x:v>
      </x:c>
      <x:c r="G12" s="12" t="n">
        <x:v>1</x:v>
      </x:c>
      <x:c r="H12" s="12" t="str">
        <x:v>PDFDocument:3</x:v>
      </x:c>
      <x:c r="I12" s="12" t="str"/>
      <x:c r="J12" s="13" t="b">
        <x:v>0</x:v>
      </x:c>
      <x:c r="K12" s="12" t="n">
        <x:v>17</x:v>
      </x:c>
    </x:row>
    <x:row r="13">
      <x:c r="A13" s="12" t="str">
        <x:v>P-10</x:v>
      </x:c>
      <x:c r="B13" s="12" t="str">
        <x:v>27 avril 2015</x:v>
      </x:c>
      <x:c r="C13" s="12" t="str">
        <x:v>Réponse LP → Me Poirier</x:v>
      </x:c>
      <x:c r="D13" s="12" t="str">
        <x:v>piece_thread-100_email-399</x:v>
      </x:c>
      <x:c r="E13" s="12" t="str">
        <x:v>email-399</x:v>
      </x:c>
      <x:c r="F13" s="12" t="str">
        <x:v>resolved</x:v>
      </x:c>
      <x:c r="G13" s="12" t="n">
        <x:v>1</x:v>
      </x:c>
      <x:c r="H13" s="12" t="str">
        <x:v>Email:399</x:v>
      </x:c>
      <x:c r="I13" s="12" t="str"/>
      <x:c r="J13" s="13" t="b">
        <x:v>0</x:v>
      </x:c>
      <x:c r="K13" s="12" t="n">
        <x:v>18</x:v>
      </x:c>
    </x:row>
    <x:row r="14">
      <x:c r="A14" s="12" t="str">
        <x:v>P-11</x:v>
      </x:c>
      <x:c r="B14" s="12" t="str">
        <x:v>19 juil. 2015</x:v>
      </x:c>
      <x:c r="C14" s="12" t="str">
        <x:v>Courriel LP → J. Bazinet (baptême de Nicolas)</x:v>
      </x:c>
      <x:c r="D14" s="12" t="str">
        <x:v>piece_thread-76_email-343</x:v>
      </x:c>
      <x:c r="E14" s="12" t="str">
        <x:v>email-343</x:v>
      </x:c>
      <x:c r="F14" s="12" t="str">
        <x:v>resolved</x:v>
      </x:c>
      <x:c r="G14" s="12" t="n">
        <x:v>1</x:v>
      </x:c>
      <x:c r="H14" s="12" t="str">
        <x:v>Email:343</x:v>
      </x:c>
      <x:c r="I14" s="12" t="str"/>
      <x:c r="J14" s="13" t="b">
        <x:v>0</x:v>
      </x:c>
      <x:c r="K14" s="12" t="n">
        <x:v>19</x:v>
      </x:c>
    </x:row>
    <x:row r="15">
      <x:c r="A15" s="12" t="str">
        <x:v>P-12</x:v>
      </x:c>
      <x:c r="B15" s="12" t="str">
        <x:v>19 juil. 2015</x:v>
      </x:c>
      <x:c r="C15" s="12" t="str">
        <x:v>Certificat de baptême de Nicolas</x:v>
      </x:c>
      <x:c r="D15" s="12" t="str">
        <x:v>piece_pdf-80</x:v>
      </x:c>
      <x:c r="E15" s="12" t="str">
        <x:v>pdf-80</x:v>
      </x:c>
      <x:c r="F15" s="12" t="str">
        <x:v>resolved</x:v>
      </x:c>
      <x:c r="G15" s="12" t="n">
        <x:v>1</x:v>
      </x:c>
      <x:c r="H15" s="12" t="str">
        <x:v>PDFDocument:80</x:v>
      </x:c>
      <x:c r="I15" s="12" t="str"/>
      <x:c r="J15" s="13" t="b">
        <x:v>0</x:v>
      </x:c>
      <x:c r="K15" s="12" t="n">
        <x:v>20</x:v>
      </x:c>
    </x:row>
    <x:row r="16">
      <x:c r="A16" s="12" t="str">
        <x:v>P-13</x:v>
      </x:c>
      <x:c r="B16" s="12" t="str">
        <x:v>1er août 2015</x:v>
      </x:c>
      <x:c r="C16" s="12" t="str">
        <x:v>iMessage « transfert / déchéance autorité parentale » (P-5 Requête)</x:v>
      </x:c>
      <x:c r="D16" s="12" t="str">
        <x:v>piece_photodoc-13</x:v>
      </x:c>
      <x:c r="E16" s="12" t="str">
        <x:v>photodoc-13</x:v>
      </x:c>
      <x:c r="F16" s="12" t="str">
        <x:v>resolved</x:v>
      </x:c>
      <x:c r="G16" s="12" t="n">
        <x:v>1</x:v>
      </x:c>
      <x:c r="H16" s="12" t="str">
        <x:v>PhotoDocument:13</x:v>
      </x:c>
      <x:c r="I16" s="12" t="str"/>
      <x:c r="J16" s="13" t="b">
        <x:v>0</x:v>
      </x:c>
      <x:c r="K16" s="12" t="n">
        <x:v>21</x:v>
      </x:c>
    </x:row>
    <x:row r="17">
      <x:c r="A17" s="12" t="str">
        <x:v>P-14</x:v>
      </x:c>
      <x:c r="B17" s="12" t="str">
        <x:v>16 sept. 2015</x:v>
      </x:c>
      <x:c r="C17" s="12" t="str">
        <x:v>Échange LP ↔ Dr Claudia Écrement</x:v>
      </x:c>
      <x:c r="D17" s="12" t="str">
        <x:v>piece_thread-ecrement_2015</x:v>
      </x:c>
      <x:c r="E17" s="12" t="str">
        <x:v>thread (écrément)</x:v>
      </x:c>
      <x:c r="F17" s="12" t="str">
        <x:v>resolved</x:v>
      </x:c>
      <x:c r="G17" s="12" t="n">
        <x:v>15</x:v>
      </x:c>
      <x:c r="H17" s="12" t="str">
        <x:v>Email:172 | Email:173 | Email:174 | Email:175 | Email:176 | Email:177 | Email:178 | Email:179 | Email:180 | Email:181 | Email:182 | Email:183 | Email:184 | Email:20 | EmailThread:16</x:v>
      </x:c>
      <x:c r="I17" s="12" t="str"/>
      <x:c r="J17" s="13" t="b">
        <x:v>1</x:v>
      </x:c>
      <x:c r="K17" s="12" t="n">
        <x:v>22</x:v>
      </x:c>
    </x:row>
    <x:row r="18">
      <x:c r="A18" s="12" t="str">
        <x:v>P-15</x:v>
      </x:c>
      <x:c r="B18" s="12" t="str">
        <x:v>7 oct. 2015</x:v>
      </x:c>
      <x:c r="C18" s="12" t="str">
        <x:v>Courriel Claudia Écrement → Élise (P-4 Requête)</x:v>
      </x:c>
      <x:c r="D18" s="12" t="str">
        <x:v>piece_photo-4551</x:v>
      </x:c>
      <x:c r="E18" s="12" t="str">
        <x:v>photo-4551</x:v>
      </x:c>
      <x:c r="F18" s="12" t="str">
        <x:v>resolved</x:v>
      </x:c>
      <x:c r="G18" s="12" t="n">
        <x:v>1</x:v>
      </x:c>
      <x:c r="H18" s="12" t="str">
        <x:v>Photo:4551</x:v>
      </x:c>
      <x:c r="I18" s="12" t="str"/>
      <x:c r="J18" s="13" t="b">
        <x:v>0</x:v>
      </x:c>
      <x:c r="K18" s="12" t="n">
        <x:v>23</x:v>
      </x:c>
    </x:row>
    <x:row r="19">
      <x:c r="A19" s="12" t="str">
        <x:v>P-16</x:v>
      </x:c>
      <x:c r="B19" s="12" t="str">
        <x:v>13 août 2015</x:v>
      </x:c>
      <x:c r="C19" s="12" t="str">
        <x:v>Projet de consentement (non signé)</x:v>
      </x:c>
      <x:c r="D19" s="12" t="str">
        <x:v>piece_pdf-5</x:v>
      </x:c>
      <x:c r="E19" s="12" t="str">
        <x:v>pdf-5</x:v>
      </x:c>
      <x:c r="F19" s="12" t="str">
        <x:v>resolved</x:v>
      </x:c>
      <x:c r="G19" s="12" t="n">
        <x:v>1</x:v>
      </x:c>
      <x:c r="H19" s="12" t="str">
        <x:v>PDFDocument:5</x:v>
      </x:c>
      <x:c r="I19" s="12" t="str"/>
      <x:c r="J19" s="13" t="b">
        <x:v>0</x:v>
      </x:c>
      <x:c r="K19" s="12" t="n">
        <x:v>24</x:v>
      </x:c>
    </x:row>
    <x:row r="20">
      <x:c r="A20" s="12" t="str">
        <x:v>P-17</x:v>
      </x:c>
      <x:c r="B20" s="12" t="str">
        <x:v>2 sept. 2015</x:v>
      </x:c>
      <x:c r="C20" s="12" t="str">
        <x:v>Réponse Poirier au projet de consentement</x:v>
      </x:c>
      <x:c r="D20" s="12" t="str">
        <x:v>piece_pdf-6</x:v>
      </x:c>
      <x:c r="E20" s="12" t="str">
        <x:v>pdf-6</x:v>
      </x:c>
      <x:c r="F20" s="12" t="str">
        <x:v>resolved</x:v>
      </x:c>
      <x:c r="G20" s="12" t="n">
        <x:v>1</x:v>
      </x:c>
      <x:c r="H20" s="12" t="str">
        <x:v>PDFDocument:6</x:v>
      </x:c>
      <x:c r="I20" s="12" t="str"/>
      <x:c r="J20" s="13" t="b">
        <x:v>0</x:v>
      </x:c>
      <x:c r="K20" s="12" t="n">
        <x:v>25</x:v>
      </x:c>
    </x:row>
    <x:row r="21">
      <x:c r="A21" s="12" t="str">
        <x:v>P-18</x:v>
      </x:c>
      <x:c r="B21" s="12" t="str">
        <x:v>3 sept. 2015</x:v>
      </x:c>
      <x:c r="C21" s="12" t="str">
        <x:v>Réponse Me Ayoub</x:v>
      </x:c>
      <x:c r="D21" s="12" t="str">
        <x:v>piece_pdf-7</x:v>
      </x:c>
      <x:c r="E21" s="12" t="str">
        <x:v>pdf-7</x:v>
      </x:c>
      <x:c r="F21" s="12" t="str">
        <x:v>resolved</x:v>
      </x:c>
      <x:c r="G21" s="12" t="n">
        <x:v>1</x:v>
      </x:c>
      <x:c r="H21" s="12" t="str">
        <x:v>PDFDocument:7</x:v>
      </x:c>
      <x:c r="I21" s="12" t="str"/>
      <x:c r="J21" s="13" t="b">
        <x:v>0</x:v>
      </x:c>
      <x:c r="K21" s="12" t="n">
        <x:v>26</x:v>
      </x:c>
    </x:row>
    <x:row r="22">
      <x:c r="A22" s="12" t="str">
        <x:v>P-19</x:v>
      </x:c>
      <x:c r="B22" s="12" t="str">
        <x:v>19 nov. 2015</x:v>
      </x:c>
      <x:c r="C22" s="12" t="str">
        <x:v>Requête (assermentée)</x:v>
      </x:c>
      <x:c r="D22" s="12" t="str">
        <x:v>piece_document-1</x:v>
      </x:c>
      <x:c r="E22" s="12" t="str">
        <x:v>document-1</x:v>
      </x:c>
      <x:c r="F22" s="12" t="str">
        <x:v>resolved</x:v>
      </x:c>
      <x:c r="G22" s="12" t="n">
        <x:v>1</x:v>
      </x:c>
      <x:c r="H22" s="12" t="str">
        <x:v>Document:1</x:v>
      </x:c>
      <x:c r="I22" s="12" t="str"/>
      <x:c r="J22" s="13" t="b">
        <x:v>0</x:v>
      </x:c>
      <x:c r="K22" s="12" t="n">
        <x:v>27</x:v>
      </x:c>
    </x:row>
    <x:row r="23">
      <x:c r="A23" s="12" t="str">
        <x:v>P-20</x:v>
      </x:c>
      <x:c r="B23" s="12" t="str">
        <x:v>11 janv. 2016</x:v>
      </x:c>
      <x:c r="C23" s="12" t="str">
        <x:v>Échange pension/dépenses (aveu « enlever cette partie »)</x:v>
      </x:c>
      <x:c r="D23" s="12" t="str">
        <x:v>piece_thread-12_email-16</x:v>
      </x:c>
      <x:c r="E23" s="12" t="str">
        <x:v>email-16</x:v>
      </x:c>
      <x:c r="F23" s="12" t="str">
        <x:v>resolved</x:v>
      </x:c>
      <x:c r="G23" s="12" t="n">
        <x:v>1</x:v>
      </x:c>
      <x:c r="H23" s="12" t="str">
        <x:v>Email:16</x:v>
      </x:c>
      <x:c r="I23" s="12" t="str"/>
      <x:c r="J23" s="13" t="b">
        <x:v>0</x:v>
      </x:c>
      <x:c r="K23" s="12" t="n">
        <x:v>28</x:v>
      </x:c>
    </x:row>
    <x:row r="24">
      <x:c r="A24" s="12" t="str">
        <x:v>P-21</x:v>
      </x:c>
      <x:c r="B24" s="12" t="str">
        <x:v>14 janv. 2016</x:v>
      </x:c>
      <x:c r="C24" s="12" t="str">
        <x:v>Jugement + formulaire de fixation</x:v>
      </x:c>
      <x:c r="D24" s="12" t="str">
        <x:v>piece_pdf-14</x:v>
      </x:c>
      <x:c r="E24" s="12" t="str">
        <x:v>pdf-14</x:v>
      </x:c>
      <x:c r="F24" s="12" t="str">
        <x:v>resolved</x:v>
      </x:c>
      <x:c r="G24" s="12" t="n">
        <x:v>1</x:v>
      </x:c>
      <x:c r="H24" s="12" t="str">
        <x:v>PDFDocument:14</x:v>
      </x:c>
      <x:c r="I24" s="12" t="str"/>
      <x:c r="J24" s="13" t="b">
        <x:v>0</x:v>
      </x:c>
      <x:c r="K24" s="12" t="n">
        <x:v>29</x:v>
      </x:c>
    </x:row>
    <x:row r="25">
      <x:c r="A25" s="12" t="str">
        <x:v>P-22</x:v>
      </x:c>
      <x:c r="B25" s="12" t="str">
        <x:v>16 sept. 2016</x:v>
      </x:c>
      <x:c r="C25" s="12" t="str">
        <x:v>Échanges Élise → LP (reconstruction)</x:v>
      </x:c>
      <x:c r="D25" s="12" t="str">
        <x:v>piece_thread-6_reconstruction email-6/8/295/306</x:v>
      </x:c>
      <x:c r="E25" s="12" t="str">
        <x:v>thread-6</x:v>
      </x:c>
      <x:c r="F25" s="12" t="str">
        <x:v>resolved</x:v>
      </x:c>
      <x:c r="G25" s="12" t="n">
        <x:v>5</x:v>
      </x:c>
      <x:c r="H25" s="12" t="str">
        <x:v>Email:295 | Email:306 | Email:6 | Email:8 | EmailThread:6</x:v>
      </x:c>
      <x:c r="I25" s="12" t="str"/>
      <x:c r="J25" s="13" t="b">
        <x:v>1</x:v>
      </x:c>
      <x:c r="K25" s="12" t="n">
        <x:v>30</x:v>
      </x:c>
    </x:row>
    <x:row r="26">
      <x:c r="A26" s="12" t="str">
        <x:v>P-23</x:v>
      </x:c>
      <x:c r="B26" s="12" t="str">
        <x:v>26 sept. 2016</x:v>
      </x:c>
      <x:c r="C26" s="12" t="str">
        <x:v>Cessation de communication</x:v>
      </x:c>
      <x:c r="D26" s="12" t="str">
        <x:v>piece_thread-5_email-5</x:v>
      </x:c>
      <x:c r="E26" s="12" t="str">
        <x:v>email-5</x:v>
      </x:c>
      <x:c r="F26" s="12" t="str">
        <x:v>resolved</x:v>
      </x:c>
      <x:c r="G26" s="12" t="n">
        <x:v>1</x:v>
      </x:c>
      <x:c r="H26" s="12" t="str">
        <x:v>Email:5</x:v>
      </x:c>
      <x:c r="I26" s="12" t="str"/>
      <x:c r="J26" s="13" t="b">
        <x:v>0</x:v>
      </x:c>
      <x:c r="K26" s="12" t="n">
        <x:v>31</x:v>
      </x:c>
    </x:row>
    <x:row r="27">
      <x:c r="A27" s="12" t="str">
        <x:v>P-24</x:v>
      </x:c>
      <x:c r="B27" s="12" t="str">
        <x:v>juin 2018</x:v>
      </x:c>
      <x:c r="C27" s="12" t="str">
        <x:v>Congédiement BNC (constat de rendement)</x:v>
      </x:c>
      <x:c r="D27" s="12" t="str">
        <x:v>piece_thread-111_congediement_bnc</x:v>
      </x:c>
      <x:c r="E27" s="12" t="str">
        <x:v>thread-111</x:v>
      </x:c>
      <x:c r="F27" s="12" t="str">
        <x:v>resolved</x:v>
      </x:c>
      <x:c r="G27" s="12" t="n">
        <x:v>1</x:v>
      </x:c>
      <x:c r="H27" s="12" t="str">
        <x:v>EmailThread:111</x:v>
      </x:c>
      <x:c r="I27" s="12" t="str"/>
      <x:c r="J27" s="13" t="b">
        <x:v>0</x:v>
      </x:c>
      <x:c r="K27" s="12" t="n">
        <x:v>32</x:v>
      </x:c>
    </x:row>
    <x:row r="28">
      <x:c r="A28" s="12" t="str">
        <x:v>P-25</x:v>
      </x:c>
      <x:c r="B28" s="12" t="str">
        <x:v>6 juin 2019</x:v>
      </x:c>
      <x:c r="C28" s="12" t="str">
        <x:v>Courriel LP → Me Ayoub (contribution grand-mère)</x:v>
      </x:c>
      <x:c r="D28" s="12" t="str">
        <x:v>piece_thread-119_email-484</x:v>
      </x:c>
      <x:c r="E28" s="12" t="str">
        <x:v>email-484</x:v>
      </x:c>
      <x:c r="F28" s="12" t="str">
        <x:v>resolved</x:v>
      </x:c>
      <x:c r="G28" s="12" t="n">
        <x:v>1</x:v>
      </x:c>
      <x:c r="H28" s="12" t="str">
        <x:v>Email:484</x:v>
      </x:c>
      <x:c r="I28" s="12" t="str"/>
      <x:c r="J28" s="13" t="b">
        <x:v>0</x:v>
      </x:c>
      <x:c r="K28" s="12" t="n">
        <x:v>33</x:v>
      </x:c>
    </x:row>
    <x:row r="29">
      <x:c r="A29" s="12" t="str">
        <x:v>P-26</x:v>
      </x:c>
      <x:c r="B29" s="12" t="str">
        <x:v>27 sept. 2019</x:v>
      </x:c>
      <x:c r="C29" s="12" t="str">
        <x:v>Jugement intérimaire (« aucun revenu »)</x:v>
      </x:c>
      <x:c r="D29" s="12" t="str">
        <x:v>piece_pdf-15</x:v>
      </x:c>
      <x:c r="E29" s="12" t="str">
        <x:v>pdf-15</x:v>
      </x:c>
      <x:c r="F29" s="12" t="str">
        <x:v>resolved</x:v>
      </x:c>
      <x:c r="G29" s="12" t="n">
        <x:v>1</x:v>
      </x:c>
      <x:c r="H29" s="12" t="str">
        <x:v>PDFDocument:15</x:v>
      </x:c>
      <x:c r="I29" s="12" t="str"/>
      <x:c r="J29" s="13" t="b">
        <x:v>0</x:v>
      </x:c>
      <x:c r="K29" s="12" t="n">
        <x:v>34</x:v>
      </x:c>
    </x:row>
    <x:row r="30">
      <x:c r="A30" s="12" t="str">
        <x:v>P-27</x:v>
      </x:c>
      <x:c r="B30" s="12" t="str">
        <x:v>15 oct. 2019</x:v>
      </x:c>
      <x:c r="C30" s="12" t="str">
        <x:v>Recherche d'emploi transmise à Me Ayoub</x:v>
      </x:c>
      <x:c r="D30" s="12" t="str">
        <x:v>piece_thread-156_email-615</x:v>
      </x:c>
      <x:c r="E30" s="12" t="str">
        <x:v>thread-156</x:v>
      </x:c>
      <x:c r="F30" s="12" t="str">
        <x:v>resolved</x:v>
      </x:c>
      <x:c r="G30" s="12" t="n">
        <x:v>1</x:v>
      </x:c>
      <x:c r="H30" s="12" t="str">
        <x:v>Email:615</x:v>
      </x:c>
      <x:c r="I30" s="12" t="str"/>
      <x:c r="J30" s="13" t="b">
        <x:v>0</x:v>
      </x:c>
      <x:c r="K30" s="12" t="n">
        <x:v>35</x:v>
      </x:c>
    </x:row>
    <x:row r="31">
      <x:c r="A31" s="12" t="str">
        <x:v>P-28</x:v>
      </x:c>
      <x:c r="B31" s="12" t="str">
        <x:v>21 oct. 2019</x:v>
      </x:c>
      <x:c r="C31" s="12" t="str">
        <x:v>Déclaration de revenus TP-1 2018 d'Élise</x:v>
      </x:c>
      <x:c r="D31" s="12" t="str">
        <x:v>piece_photodoc-17</x:v>
      </x:c>
      <x:c r="E31" s="12" t="str">
        <x:v>photodoc-17</x:v>
      </x:c>
      <x:c r="F31" s="12" t="str">
        <x:v>resolved</x:v>
      </x:c>
      <x:c r="G31" s="12" t="n">
        <x:v>1</x:v>
      </x:c>
      <x:c r="H31" s="12" t="str">
        <x:v>PhotoDocument:17</x:v>
      </x:c>
      <x:c r="I31" s="12" t="str"/>
      <x:c r="J31" s="13" t="b">
        <x:v>0</x:v>
      </x:c>
      <x:c r="K31" s="12" t="n">
        <x:v>36</x:v>
      </x:c>
    </x:row>
    <x:row r="32">
      <x:c r="A32" s="12" t="str">
        <x:v>P-29</x:v>
      </x:c>
      <x:c r="B32" s="12" t="str">
        <x:v>21 oct. 2019</x:v>
      </x:c>
      <x:c r="C32" s="12" t="str">
        <x:v>Formulaire de fixation de la mère</x:v>
      </x:c>
      <x:c r="D32" s="12" t="str">
        <x:v>piece_pdf-16</x:v>
      </x:c>
      <x:c r="E32" s="12" t="str">
        <x:v>pdf-16</x:v>
      </x:c>
      <x:c r="F32" s="12" t="str">
        <x:v>resolved</x:v>
      </x:c>
      <x:c r="G32" s="12" t="n">
        <x:v>1</x:v>
      </x:c>
      <x:c r="H32" s="12" t="str">
        <x:v>PDFDocument:16</x:v>
      </x:c>
      <x:c r="I32" s="12" t="str"/>
      <x:c r="J32" s="13" t="b">
        <x:v>0</x:v>
      </x:c>
      <x:c r="K32" s="12" t="n">
        <x:v>37</x:v>
      </x:c>
    </x:row>
    <x:row r="33">
      <x:c r="A33" s="12" t="str">
        <x:v>P-30</x:v>
      </x:c>
      <x:c r="B33" s="12" t="str">
        <x:v>21 oct. 2019</x:v>
      </x:c>
      <x:c r="C33" s="12" t="str">
        <x:v>Courriels LP → Me Ayoub (21 oct.)</x:v>
      </x:c>
      <x:c r="D33" s="12" t="str">
        <x:v>piece_thread-120_email-485 ; piece_thread-121_email-486</x:v>
      </x:c>
      <x:c r="E33" s="12" t="str">
        <x:v>email-485/486</x:v>
      </x:c>
      <x:c r="F33" s="12" t="str">
        <x:v>resolved</x:v>
      </x:c>
      <x:c r="G33" s="12" t="n">
        <x:v>2</x:v>
      </x:c>
      <x:c r="H33" s="12" t="str">
        <x:v>Email:485 | Email:486</x:v>
      </x:c>
      <x:c r="I33" s="12" t="str"/>
      <x:c r="J33" s="13" t="b">
        <x:v>1</x:v>
      </x:c>
      <x:c r="K33" s="12" t="n">
        <x:v>38</x:v>
      </x:c>
    </x:row>
    <x:row r="34">
      <x:c r="A34" s="12" t="str">
        <x:v>P-31</x:v>
      </x:c>
      <x:c r="B34" s="12" t="str">
        <x:v>21 oct. 2019</x:v>
      </x:c>
      <x:c r="C34" s="12" t="str">
        <x:v>Talons de paie d'Élise (Hydro-Québec)</x:v>
      </x:c>
      <x:c r="D34" s="12" t="str">
        <x:v>piece_thread-160_email-642</x:v>
      </x:c>
      <x:c r="E34" s="12" t="str">
        <x:v>email-642 (pj)</x:v>
      </x:c>
      <x:c r="F34" s="12" t="str">
        <x:v>resolved</x:v>
      </x:c>
      <x:c r="G34" s="12" t="n">
        <x:v>1</x:v>
      </x:c>
      <x:c r="H34" s="12" t="str">
        <x:v>Email:642</x:v>
      </x:c>
      <x:c r="I34" s="12" t="str"/>
      <x:c r="J34" s="13" t="b">
        <x:v>0</x:v>
      </x:c>
      <x:c r="K34" s="12" t="n">
        <x:v>39</x:v>
      </x:c>
    </x:row>
    <x:row r="35">
      <x:c r="A35" s="12" t="str">
        <x:v>P-32</x:v>
      </x:c>
      <x:c r="B35" s="12" t="str">
        <x:v>24 oct. 2019</x:v>
      </x:c>
      <x:c r="C35" s="12" t="str">
        <x:v>Relevé de compte Revenu Québec</x:v>
      </x:c>
      <x:c r="D35" s="12" t="str">
        <x:v>piece_pdf-81</x:v>
      </x:c>
      <x:c r="E35" s="12" t="str">
        <x:v>pdf-81</x:v>
      </x:c>
      <x:c r="F35" s="12" t="str">
        <x:v>resolved</x:v>
      </x:c>
      <x:c r="G35" s="12" t="n">
        <x:v>1</x:v>
      </x:c>
      <x:c r="H35" s="12" t="str">
        <x:v>PDFDocument:81</x:v>
      </x:c>
      <x:c r="I35" s="12" t="str"/>
      <x:c r="J35" s="13" t="b">
        <x:v>0</x:v>
      </x:c>
      <x:c r="K35" s="12" t="n">
        <x:v>40</x:v>
      </x:c>
    </x:row>
    <x:row r="36">
      <x:c r="A36" s="12" t="str">
        <x:v>P-33</x:v>
      </x:c>
      <x:c r="B36" s="12" t="str">
        <x:v>4 nov. 2019</x:v>
      </x:c>
      <x:c r="C36" s="12" t="str">
        <x:v>Formulaire de fixation du père</x:v>
      </x:c>
      <x:c r="D36" s="12" t="str">
        <x:v>piece_pdf-82</x:v>
      </x:c>
      <x:c r="E36" s="12" t="str">
        <x:v>pdf-82</x:v>
      </x:c>
      <x:c r="F36" s="12" t="str">
        <x:v>resolved</x:v>
      </x:c>
      <x:c r="G36" s="12" t="n">
        <x:v>1</x:v>
      </x:c>
      <x:c r="H36" s="12" t="str">
        <x:v>PDFDocument:82</x:v>
      </x:c>
      <x:c r="I36" s="12" t="str"/>
      <x:c r="J36" s="13" t="b">
        <x:v>0</x:v>
      </x:c>
      <x:c r="K36" s="12" t="n">
        <x:v>41</x:v>
      </x:c>
    </x:row>
    <x:row r="37">
      <x:c r="A37" s="12" t="str">
        <x:v>P-34</x:v>
      </x:c>
      <x:c r="B37" s="12" t="str">
        <x:v>4 nov. 2019</x:v>
      </x:c>
      <x:c r="C37" s="12" t="str">
        <x:v>Procès-verbal / jugement</x:v>
      </x:c>
      <x:c r="D37" s="12" t="str">
        <x:v>piece_pdf-13</x:v>
      </x:c>
      <x:c r="E37" s="12" t="str">
        <x:v>pdf-13</x:v>
      </x:c>
      <x:c r="F37" s="12" t="str">
        <x:v>resolved</x:v>
      </x:c>
      <x:c r="G37" s="12" t="n">
        <x:v>1</x:v>
      </x:c>
      <x:c r="H37" s="12" t="str">
        <x:v>PDFDocument:13</x:v>
      </x:c>
      <x:c r="I37" s="12" t="str"/>
      <x:c r="J37" s="13" t="b">
        <x:v>0</x:v>
      </x:c>
      <x:c r="K37" s="12" t="n">
        <x:v>42</x:v>
      </x:c>
    </x:row>
    <x:row r="38">
      <x:c r="A38" s="12" t="str">
        <x:v>P-35</x:v>
      </x:c>
      <x:c r="B38" s="12" t="str">
        <x:v>2018</x:v>
      </x:c>
      <x:c r="C38" s="12" t="str">
        <x:v>Avis de cotisation 2018 du demandeur</x:v>
      </x:c>
      <x:c r="D38" s="12" t="str">
        <x:v>piece_pdf-35  doublon : piece_avis_cotisation_pere_2018</x:v>
      </x:c>
      <x:c r="E38" s="12" t="str">
        <x:v>pdf-35</x:v>
      </x:c>
      <x:c r="F38" s="12" t="str">
        <x:v>resolved</x:v>
      </x:c>
      <x:c r="G38" s="12" t="n">
        <x:v>1</x:v>
      </x:c>
      <x:c r="H38" s="12" t="str">
        <x:v>PDFDocument:35</x:v>
      </x:c>
      <x:c r="I38" s="12" t="str"/>
      <x:c r="J38" s="13" t="b">
        <x:v>0</x:v>
      </x:c>
      <x:c r="K38" s="12" t="n">
        <x:v>43</x:v>
      </x:c>
    </x:row>
    <x:row r="39">
      <x:c r="A39" s="12" t="str">
        <x:v>P-36</x:v>
      </x:c>
      <x:c r="B39" s="12" t="str">
        <x:v>2019</x:v>
      </x:c>
      <x:c r="C39" s="12" t="str">
        <x:v>Avis de cotisation 2019 du demandeur</x:v>
      </x:c>
      <x:c r="D39" s="12" t="str">
        <x:v>piece_pdf-30  doublon : piece_avis_cotisation_pere_2019</x:v>
      </x:c>
      <x:c r="E39" s="12" t="str">
        <x:v>pdf-30</x:v>
      </x:c>
      <x:c r="F39" s="12" t="str">
        <x:v>resolved</x:v>
      </x:c>
      <x:c r="G39" s="12" t="n">
        <x:v>1</x:v>
      </x:c>
      <x:c r="H39" s="12" t="str">
        <x:v>PDFDocument:30</x:v>
      </x:c>
      <x:c r="I39" s="12" t="str"/>
      <x:c r="J39" s="13" t="b">
        <x:v>0</x:v>
      </x:c>
      <x:c r="K39" s="12" t="n">
        <x:v>44</x:v>
      </x:c>
    </x:row>
    <x:row r="40">
      <x:c r="A40" s="12" t="str">
        <x:v>P-37</x:v>
      </x:c>
      <x:c r="B40" s="12" t="str">
        <x:v>17 févr. 2020</x:v>
      </x:c>
      <x:c r="C40" s="12" t="str">
        <x:v>Courriel LP → Me Ayoub (passeport suspendu)</x:v>
      </x:c>
      <x:c r="D40" s="12" t="str">
        <x:v>piece_thread-113_email-462</x:v>
      </x:c>
      <x:c r="E40" s="12" t="str">
        <x:v>email-462</x:v>
      </x:c>
      <x:c r="F40" s="12" t="str">
        <x:v>resolved</x:v>
      </x:c>
      <x:c r="G40" s="12" t="n">
        <x:v>1</x:v>
      </x:c>
      <x:c r="H40" s="12" t="str">
        <x:v>Email:462</x:v>
      </x:c>
      <x:c r="I40" s="12" t="str"/>
      <x:c r="J40" s="13" t="b">
        <x:v>0</x:v>
      </x:c>
      <x:c r="K40" s="12" t="n">
        <x:v>45</x:v>
      </x:c>
    </x:row>
    <x:row r="41">
      <x:c r="A41" s="12" t="str">
        <x:v>P-38</x:v>
      </x:c>
      <x:c r="B41" s="12" t="str">
        <x:v>17 avril 2020</x:v>
      </x:c>
      <x:c r="C41" s="12" t="str">
        <x:v>Courriel LP → Me Ayoub</x:v>
      </x:c>
      <x:c r="D41" s="12" t="str">
        <x:v>piece_thread-4_email-330</x:v>
      </x:c>
      <x:c r="E41" s="12" t="str">
        <x:v>email-330</x:v>
      </x:c>
      <x:c r="F41" s="12" t="str">
        <x:v>resolved</x:v>
      </x:c>
      <x:c r="G41" s="12" t="n">
        <x:v>1</x:v>
      </x:c>
      <x:c r="H41" s="12" t="str">
        <x:v>Email:330</x:v>
      </x:c>
      <x:c r="I41" s="12" t="str"/>
      <x:c r="J41" s="13" t="b">
        <x:v>0</x:v>
      </x:c>
      <x:c r="K41" s="12" t="n">
        <x:v>46</x:v>
      </x:c>
    </x:row>
    <x:row r="42">
      <x:c r="A42" s="12" t="str">
        <x:v>P-39</x:v>
      </x:c>
      <x:c r="B42" s="12" t="str">
        <x:v>22 juin 2020</x:v>
      </x:c>
      <x:c r="C42" s="12" t="str">
        <x:v>Courriel LP → Élise (bonne foi ; Bucarest)</x:v>
      </x:c>
      <x:c r="D42" s="12" t="str">
        <x:v>piece_thread-3_email-3</x:v>
      </x:c>
      <x:c r="E42" s="12" t="str">
        <x:v>email-3</x:v>
      </x:c>
      <x:c r="F42" s="12" t="str">
        <x:v>resolved</x:v>
      </x:c>
      <x:c r="G42" s="12" t="n">
        <x:v>1</x:v>
      </x:c>
      <x:c r="H42" s="12" t="str">
        <x:v>Email:3</x:v>
      </x:c>
      <x:c r="I42" s="12" t="str"/>
      <x:c r="J42" s="13" t="b">
        <x:v>0</x:v>
      </x:c>
      <x:c r="K42" s="12" t="n">
        <x:v>47</x:v>
      </x:c>
    </x:row>
    <x:row r="43">
      <x:c r="A43" s="12" t="str">
        <x:v>P-40</x:v>
      </x:c>
      <x:c r="B43" s="12" t="str">
        <x:v>21 juil. 2023</x:v>
      </x:c>
      <x:c r="C43" s="12" t="str">
        <x:v>Dénonciation d'un moyen déclinatoire</x:v>
      </x:c>
      <x:c r="D43" s="12" t="str">
        <x:v>piece_denonciation_declinatoire_2023</x:v>
      </x:c>
      <x:c r="E43" s="12" t="str">
        <x:v>document-2</x:v>
      </x:c>
      <x:c r="F43" s="12" t="str">
        <x:v>resolved</x:v>
      </x:c>
      <x:c r="G43" s="12" t="n">
        <x:v>1</x:v>
      </x:c>
      <x:c r="H43" s="12" t="str">
        <x:v>Document:2</x:v>
      </x:c>
      <x:c r="I43" s="12" t="str"/>
      <x:c r="J43" s="13" t="b">
        <x:v>0</x:v>
      </x:c>
      <x:c r="K43" s="12" t="n">
        <x:v>48</x:v>
      </x:c>
    </x:row>
    <x:row r="44">
      <x:c r="A44" s="12" t="str">
        <x:v>P-41</x:v>
      </x:c>
      <x:c r="B44" s="12" t="str">
        <x:v>(2026)</x:v>
      </x:c>
      <x:c r="C44" s="12" t="str">
        <x:v>Confirmation par la Paroisse de la marraine</x:v>
      </x:c>
      <x:c r="D44" s="12" t="str">
        <x:v>piece_thread-158_email-633</x:v>
      </x:c>
      <x:c r="E44" s="12" t="str">
        <x:v>email-633</x:v>
      </x:c>
      <x:c r="F44" s="12" t="str">
        <x:v>resolved</x:v>
      </x:c>
      <x:c r="G44" s="12" t="n">
        <x:v>1</x:v>
      </x:c>
      <x:c r="H44" s="12" t="str">
        <x:v>Email:633</x:v>
      </x:c>
      <x:c r="I44" s="12" t="str"/>
      <x:c r="J44" s="13" t="b">
        <x:v>0</x:v>
      </x:c>
      <x:c r="K44" s="12" t="n">
        <x:v>49</x:v>
      </x:c>
    </x:row>
    <x:row r="45">
      <x:c r="A45" s="12" t="str">
        <x:v>P-42</x:v>
      </x:c>
      <x:c r="B45" s="12" t="str">
        <x:v>21 oct. 2019</x:v>
      </x:c>
      <x:c r="C45" s="12" t="str">
        <x:v>Déclaration assermentée de la demanderesse (DA-2019)</x:v>
      </x:c>
      <x:c r="D45" s="12" t="str">
        <x:v>piece_document-3</x:v>
      </x:c>
      <x:c r="E45" s="12" t="str">
        <x:v>document-3</x:v>
      </x:c>
      <x:c r="F45" s="12" t="str">
        <x:v>resolved</x:v>
      </x:c>
      <x:c r="G45" s="12" t="n">
        <x:v>1</x:v>
      </x:c>
      <x:c r="H45" s="12" t="str">
        <x:v>Document:3</x:v>
      </x:c>
      <x:c r="I45" s="12" t="str"/>
      <x:c r="J45" s="13" t="b">
        <x:v>0</x:v>
      </x:c>
      <x:c r="K45" s="12" t="n">
        <x:v>50</x:v>
      </x:c>
    </x:row>
    <x:row r="46">
      <x:c r="A46" s="14" t="str">
        <x:v>P-43</x:v>
      </x:c>
      <x:c r="B46" s="14" t="str">
        <x:v>7 mars 2011–3 août 2015</x:v>
      </x:c>
      <x:c r="C46" s="14" t="str">
        <x:v>Liasse de courriels professionnels relatifs aux soins des enfants</x:v>
      </x:c>
      <x:c r="D46" s="14" t="str">
        <x:v>Emails id=69, 68, 64, 118, 61, 59, 58, 56, 55, 53, 51, 47, 45, 42, 40, 30, 28, 27, 21</x:v>
      </x:c>
      <x:c r="E46" s="14" t="str">
        <x:v>emails (liasse indexée P-43.1 à P-43.16)</x:v>
      </x:c>
      <x:c r="F46" s="14" t="str">
        <x:v>resolved</x:v>
      </x:c>
      <x:c r="G46" s="14" t="n">
        <x:v>19</x:v>
      </x:c>
      <x:c r="H46" s="14" t="str">
        <x:v>Email:118 | Email:21 | Email:27 | Email:28 | Email:30 | Email:40 | Email:42 | Email:45 | Email:47 | Email:51 | Email:53 | Email:55 | Email:56 | Email:58 | Email:59 | Email:61 | Email:64 | Email:68 | Email:69</x:v>
      </x:c>
      <x:c r="I46" s="14" t="str"/>
      <x:c r="J46" s="15" t="b">
        <x:v>1</x:v>
      </x:c>
      <x:c r="K46" s="14" t="n">
        <x:v>51</x:v>
      </x:c>
    </x:row>
  </x:sheetData>
  <x:mergeCells>
    <x:mergeCell ref="A1:K1"/>
  </x:mergeCells>
  <x:conditionalFormatting sqref="F4:F46">
    <x:cfRule type="containsText" dxfId="0" priority="1" operator="containsText" text="resolved"/>
  </x:conditionalFormatting>
  <x:pageMargins left="0.7" right="0.7" top="0.75" bottom="0.75" header="0.3" footer="0.3"/>
  <x:tableParts count="1">
    <x:tablePart xmlns:r="http://schemas.openxmlformats.org/officeDocument/2006/relationships" r:id="R2218fd7fb35c47c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22" hidden="0" customWidth="1"/>
    <x:col min="4" max="4" width="18" hidden="0" customWidth="1"/>
    <x:col min="5" max="5" width="10" hidden="0" customWidth="1"/>
    <x:col min="6" max="6" width="24" hidden="0" customWidth="1"/>
    <x:col min="7" max="7" width="20" hidden="0" customWidth="1"/>
    <x:col min="8" max="8" width="24" hidden="0" customWidth="1"/>
    <x:col min="9" max="9" width="55" hidden="0" customWidth="1"/>
    <x:col min="10" max="10" width="48" hidden="0" customWidth="1"/>
  </x:cols>
  <x:sheetData>
    <x:row r="1" ht="28" customHeight="1">
      <x:c r="A1" s="2" t="str">
        <x:v>Composantes</x:v>
      </x:c>
      <x:c r="B1" s="2" t="str">
        <x:v>Composantes</x:v>
      </x:c>
      <x:c r="C1" s="2" t="str">
        <x:v>Composantes</x:v>
      </x:c>
      <x:c r="D1" s="2" t="str">
        <x:v>Composantes</x:v>
      </x:c>
      <x:c r="E1" s="2" t="str">
        <x:v>Composantes</x:v>
      </x:c>
      <x:c r="F1" s="2" t="str">
        <x:v>Composantes</x:v>
      </x:c>
      <x:c r="G1" s="2" t="str">
        <x:v>Composantes</x:v>
      </x:c>
      <x:c r="H1" s="2" t="str">
        <x:v>Composantes</x:v>
      </x:c>
      <x:c r="I1" s="2" t="str">
        <x:v>Composantes</x:v>
      </x:c>
      <x:c r="J1" s="2" t="str">
        <x:v>Composantes</x:v>
      </x:c>
    </x:row>
    <x:row r="3" ht="30" customHeight="1">
      <x:c r="A3" s="4" t="str">
        <x:v>Cote</x:v>
      </x:c>
      <x:c r="B3" s="4" t="str">
        <x:v>Ordre</x:v>
      </x:c>
      <x:c r="C3" s="4" t="str">
        <x:v>Clé canonique</x:v>
      </x:c>
      <x:c r="D3" s="4" t="str">
        <x:v>Modèle</x:v>
      </x:c>
      <x:c r="E3" s="4" t="str">
        <x:v>PK</x:v>
      </x:c>
      <x:c r="F3" s="4" t="str">
        <x:v>État Django</x:v>
      </x:c>
      <x:c r="G3" s="4" t="str">
        <x:v>État original</x:v>
      </x:c>
      <x:c r="H3" s="4" t="str">
        <x:v>Date objet</x:v>
      </x:c>
      <x:c r="I3" s="4" t="str">
        <x:v>Titre</x:v>
      </x:c>
      <x:c r="J3" s="4" t="str">
        <x:v>Référence d’appui</x:v>
      </x:c>
    </x:row>
    <x:row r="4">
      <x:c r="A4" s="10" t="str">
        <x:v>P-1</x:v>
      </x:c>
      <x:c r="B4" s="10" t="n">
        <x:v>1</x:v>
      </x:c>
      <x:c r="C4" s="10" t="str">
        <x:v>Photo:4558</x:v>
      </x:c>
      <x:c r="D4" s="10" t="str">
        <x:v>Photo</x:v>
      </x:c>
      <x:c r="E4" s="10" t="n">
        <x:v>4558</x:v>
      </x:c>
      <x:c r="F4" s="10" t="str">
        <x:v>found</x:v>
      </x:c>
      <x:c r="G4" s="10" t="str">
        <x:v>available</x:v>
      </x:c>
      <x:c r="H4" s="16" t="n">
        <x:v>40095.6875</x:v>
      </x:c>
      <x:c r="I4" s="10" t="str">
        <x:v>RQAPAlexia.jpeg copy.png</x:v>
      </x:c>
      <x:c r="J4" s="10" t="str">
        <x:v>piece_photo-4558</x:v>
      </x:c>
    </x:row>
    <x:row r="5">
      <x:c r="A5" s="12" t="str">
        <x:v>P-2</x:v>
      </x:c>
      <x:c r="B5" s="12" t="n">
        <x:v>1</x:v>
      </x:c>
      <x:c r="C5" s="12" t="str">
        <x:v>PDFDocument:1</x:v>
      </x:c>
      <x:c r="D5" s="12" t="str">
        <x:v>PDFDocument</x:v>
      </x:c>
      <x:c r="E5" s="12" t="n">
        <x:v>1</x:v>
      </x:c>
      <x:c r="F5" s="12" t="str">
        <x:v>found</x:v>
      </x:c>
      <x:c r="G5" s="12" t="str">
        <x:v>available</x:v>
      </x:c>
      <x:c r="H5" s="17" t="str">
        <x:v>2013-06-11</x:v>
      </x:c>
      <x:c r="I5" s="12" t="str">
        <x:v>Courriel suggérant de faire une plainte pour violence conjugale</x:v>
      </x:c>
      <x:c r="J5" s="12" t="str">
        <x:v>piece_pdf-1</x:v>
      </x:c>
    </x:row>
    <x:row r="6">
      <x:c r="A6" s="12" t="str">
        <x:v>P-3</x:v>
      </x:c>
      <x:c r="B6" s="12" t="n">
        <x:v>1</x:v>
      </x:c>
      <x:c r="C6" s="12" t="str">
        <x:v>Email:365</x:v>
      </x:c>
      <x:c r="D6" s="12" t="str">
        <x:v>Email</x:v>
      </x:c>
      <x:c r="E6" s="12" t="n">
        <x:v>365</x:v>
      </x:c>
      <x:c r="F6" s="12" t="str">
        <x:v>found</x:v>
      </x:c>
      <x:c r="G6" s="12" t="str">
        <x:v>available</x:v>
      </x:c>
      <x:c r="H6" s="17" t="n">
        <x:v>41451.59622685185</x:v>
      </x:c>
      <x:c r="I6" s="12" t="str">
        <x:v>Conseils</x:v>
      </x:c>
      <x:c r="J6" s="12" t="str">
        <x:v>piece_thread-89_email-365</x:v>
      </x:c>
    </x:row>
    <x:row r="7">
      <x:c r="A7" s="12" t="str">
        <x:v>P-4</x:v>
      </x:c>
      <x:c r="B7" s="12" t="n">
        <x:v>1</x:v>
      </x:c>
      <x:c r="C7" s="12" t="str">
        <x:v>EmailThread:109</x:v>
      </x:c>
      <x:c r="D7" s="12" t="str">
        <x:v>EmailThread</x:v>
      </x:c>
      <x:c r="E7" s="12" t="n">
        <x:v>109</x:v>
      </x:c>
      <x:c r="F7" s="12" t="str">
        <x:v>found</x:v>
      </x:c>
      <x:c r="G7" s="12" t="str">
        <x:v>all_available</x:v>
      </x:c>
      <x:c r="H7" s="17" t="n">
        <x:v>41455.45775462963</x:v>
      </x:c>
      <x:c r="I7" s="12" t="str">
        <x:v>Re: Chalet Alexia (Final)</x:v>
      </x:c>
      <x:c r="J7" s="12" t="str">
        <x:v>piece_thread-109</x:v>
      </x:c>
    </x:row>
    <x:row r="8">
      <x:c r="A8" s="12" t="str">
        <x:v>P-5</x:v>
      </x:c>
      <x:c r="B8" s="12" t="n">
        <x:v>1</x:v>
      </x:c>
      <x:c r="C8" s="12" t="str">
        <x:v>Event:242</x:v>
      </x:c>
      <x:c r="D8" s="12" t="str">
        <x:v>Event</x:v>
      </x:c>
      <x:c r="E8" s="12" t="n">
        <x:v>242</x:v>
      </x:c>
      <x:c r="F8" s="12" t="str">
        <x:v>found</x:v>
      </x:c>
      <x:c r="G8" s="12" t="str">
        <x:v>all_available</x:v>
      </x:c>
      <x:c r="H8" s="17" t="str">
        <x:v>2013-06-16</x:v>
      </x:c>
      <x:c r="I8" s="12" t="str">
        <x:v>On 2013-06-16 between 11:58 and 11:58: LP is in Cape Cod with is family but without Alexia, because Elise opposed the idea on the grounds that Alexia was too young</x:v>
      </x:c>
      <x:c r="J8" s="12" t="str">
        <x:v>Events id=242, 243, 257, 258, 259, 260</x:v>
      </x:c>
    </x:row>
    <x:row r="9">
      <x:c r="A9" s="12" t="str">
        <x:v>P-5</x:v>
      </x:c>
      <x:c r="B9" s="12" t="n">
        <x:v>2</x:v>
      </x:c>
      <x:c r="C9" s="12" t="str">
        <x:v>Event:243</x:v>
      </x:c>
      <x:c r="D9" s="12" t="str">
        <x:v>Event</x:v>
      </x:c>
      <x:c r="E9" s="12" t="n">
        <x:v>243</x:v>
      </x:c>
      <x:c r="F9" s="12" t="str">
        <x:v>found</x:v>
      </x:c>
      <x:c r="G9" s="12" t="str">
        <x:v>all_available</x:v>
      </x:c>
      <x:c r="H9" s="17" t="str">
        <x:v>2013-06-17</x:v>
      </x:c>
      <x:c r="I9" s="12" t="str">
        <x:v>On 2013-06-17 between 13:41 and 13:58: LP is in Cape Cod with is family but without Alexia, because Elise opposed the idea on the grounds that Alexia was too young</x:v>
      </x:c>
      <x:c r="J9" s="12" t="str">
        <x:v>Events id=242, 243, 257, 258, 259, 260</x:v>
      </x:c>
    </x:row>
    <x:row r="10">
      <x:c r="A10" s="12" t="str">
        <x:v>P-5</x:v>
      </x:c>
      <x:c r="B10" s="12" t="n">
        <x:v>3</x:v>
      </x:c>
      <x:c r="C10" s="12" t="str">
        <x:v>Event:257</x:v>
      </x:c>
      <x:c r="D10" s="12" t="str">
        <x:v>Event</x:v>
      </x:c>
      <x:c r="E10" s="12" t="n">
        <x:v>257</x:v>
      </x:c>
      <x:c r="F10" s="12" t="str">
        <x:v>found</x:v>
      </x:c>
      <x:c r="G10" s="12" t="str">
        <x:v>all_available</x:v>
      </x:c>
      <x:c r="H10" s="17" t="str">
        <x:v>2013-08-11</x:v>
      </x:c>
      <x:c r="I10" s="12" t="str">
        <x:v>On 2013-08-11 between 09:19 and 09:20: LP is in Cape Cod with Alexia. LP is taking picture of Alexia with familly friends in Cape Cod</x:v>
      </x:c>
      <x:c r="J10" s="12" t="str">
        <x:v>Events id=242, 243, 257, 258, 259, 260</x:v>
      </x:c>
    </x:row>
    <x:row r="11">
      <x:c r="A11" s="12" t="str">
        <x:v>P-5</x:v>
      </x:c>
      <x:c r="B11" s="12" t="n">
        <x:v>4</x:v>
      </x:c>
      <x:c r="C11" s="12" t="str">
        <x:v>Event:258</x:v>
      </x:c>
      <x:c r="D11" s="12" t="str">
        <x:v>Event</x:v>
      </x:c>
      <x:c r="E11" s="12" t="n">
        <x:v>258</x:v>
      </x:c>
      <x:c r="F11" s="12" t="str">
        <x:v>found</x:v>
      </x:c>
      <x:c r="G11" s="12" t="str">
        <x:v>all_available</x:v>
      </x:c>
      <x:c r="H11" s="17" t="str">
        <x:v>2013-08-12</x:v>
      </x:c>
      <x:c r="I11" s="12" t="str">
        <x:v>On 2013-08-12 between 11:01 and 11:21: LP is in Cape Cod with Alexia. LP is taking picture of Alexia with familly friends in Cape Cod</x:v>
      </x:c>
      <x:c r="J11" s="12" t="str">
        <x:v>Events id=242, 243, 257, 258, 259, 260</x:v>
      </x:c>
    </x:row>
    <x:row r="12">
      <x:c r="A12" s="12" t="str">
        <x:v>P-5</x:v>
      </x:c>
      <x:c r="B12" s="12" t="n">
        <x:v>5</x:v>
      </x:c>
      <x:c r="C12" s="12" t="str">
        <x:v>Event:259</x:v>
      </x:c>
      <x:c r="D12" s="12" t="str">
        <x:v>Event</x:v>
      </x:c>
      <x:c r="E12" s="12" t="n">
        <x:v>259</x:v>
      </x:c>
      <x:c r="F12" s="12" t="str">
        <x:v>found</x:v>
      </x:c>
      <x:c r="G12" s="12" t="str">
        <x:v>all_available</x:v>
      </x:c>
      <x:c r="H12" s="17" t="str">
        <x:v>2013-08-14</x:v>
      </x:c>
      <x:c r="I12" s="12" t="str">
        <x:v>On 2013-08-14 between 09:30 and 09:30: LP is in Cape Cod with Nicolas. LP is taking picture of Nicolas sitting in the shades on the beach</x:v>
      </x:c>
      <x:c r="J12" s="12" t="str">
        <x:v>Events id=242, 243, 257, 258, 259, 260</x:v>
      </x:c>
    </x:row>
    <x:row r="13">
      <x:c r="A13" s="12" t="str">
        <x:v>P-5</x:v>
      </x:c>
      <x:c r="B13" s="12" t="n">
        <x:v>6</x:v>
      </x:c>
      <x:c r="C13" s="12" t="str">
        <x:v>Event:260</x:v>
      </x:c>
      <x:c r="D13" s="12" t="str">
        <x:v>Event</x:v>
      </x:c>
      <x:c r="E13" s="12" t="n">
        <x:v>260</x:v>
      </x:c>
      <x:c r="F13" s="12" t="str">
        <x:v>found</x:v>
      </x:c>
      <x:c r="G13" s="12" t="str">
        <x:v>all_available</x:v>
      </x:c>
      <x:c r="H13" s="17" t="str">
        <x:v>2013-08-16</x:v>
      </x:c>
      <x:c r="I13" s="12" t="str">
        <x:v>On 2013-08-16 between 10:04 and 11:04: LP is in Cape Cod with Alexia</x:v>
      </x:c>
      <x:c r="J13" s="12" t="str">
        <x:v>Events id=242, 243, 257, 258, 259, 260</x:v>
      </x:c>
    </x:row>
    <x:row r="14">
      <x:c r="A14" s="12" t="str">
        <x:v>P-6</x:v>
      </x:c>
      <x:c r="B14" s="12" t="n">
        <x:v>1</x:v>
      </x:c>
      <x:c r="C14" s="12" t="str">
        <x:v>Email:163</x:v>
      </x:c>
      <x:c r="D14" s="12" t="str">
        <x:v>Email</x:v>
      </x:c>
      <x:c r="E14" s="12" t="n">
        <x:v>163</x:v>
      </x:c>
      <x:c r="F14" s="12" t="str">
        <x:v>found</x:v>
      </x:c>
      <x:c r="G14" s="12" t="str">
        <x:v>available</x:v>
      </x:c>
      <x:c r="H14" s="17" t="n">
        <x:v>42062.87975694444</x:v>
      </x:c>
      <x:c r="I14" s="12" t="str">
        <x:v>Re: Cle</x:v>
      </x:c>
      <x:c r="J14" s="12" t="str">
        <x:v>piece_thread-18_email-163</x:v>
      </x:c>
    </x:row>
    <x:row r="15">
      <x:c r="A15" s="12" t="str">
        <x:v>P-7</x:v>
      </x:c>
      <x:c r="B15" s="12" t="n">
        <x:v>1</x:v>
      </x:c>
      <x:c r="C15" s="12" t="str">
        <x:v>PDFDocument:2</x:v>
      </x:c>
      <x:c r="D15" s="12" t="str">
        <x:v>PDFDocument</x:v>
      </x:c>
      <x:c r="E15" s="12" t="n">
        <x:v>2</x:v>
      </x:c>
      <x:c r="F15" s="12" t="str">
        <x:v>found</x:v>
      </x:c>
      <x:c r="G15" s="12" t="str">
        <x:v>available</x:v>
      </x:c>
      <x:c r="H15" s="17" t="str">
        <x:v>2015-04-20</x:v>
      </x:c>
      <x:c r="I15" s="12" t="str">
        <x:v>20150420 FP premiere offre de garde (envois de la position officielle)</x:v>
      </x:c>
      <x:c r="J15" s="12" t="str">
        <x:v>piece_pdf-2</x:v>
      </x:c>
    </x:row>
    <x:row r="16">
      <x:c r="A16" s="12" t="str">
        <x:v>P-8</x:v>
      </x:c>
      <x:c r="B16" s="12" t="n">
        <x:v>1</x:v>
      </x:c>
      <x:c r="C16" s="12" t="str">
        <x:v>Photo:4526</x:v>
      </x:c>
      <x:c r="D16" s="12" t="str">
        <x:v>Photo</x:v>
      </x:c>
      <x:c r="E16" s="12" t="n">
        <x:v>4526</x:v>
      </x:c>
      <x:c r="F16" s="12" t="str">
        <x:v>found</x:v>
      </x:c>
      <x:c r="G16" s="12" t="str">
        <x:v>available</x:v>
      </x:c>
      <x:c r="H16" s="17" t="n">
        <x:v>42115</x:v>
      </x:c>
      <x:c r="I16" s="12" t="str">
        <x:v>IMG_3095 envoyer position officielle.JPG</x:v>
      </x:c>
      <x:c r="J16" s="12" t="str">
        <x:v>piece_p2_messages_7avril2015</x:v>
      </x:c>
    </x:row>
    <x:row r="17">
      <x:c r="A17" s="12" t="str">
        <x:v>P-9</x:v>
      </x:c>
      <x:c r="B17" s="12" t="n">
        <x:v>1</x:v>
      </x:c>
      <x:c r="C17" s="12" t="str">
        <x:v>PDFDocument:3</x:v>
      </x:c>
      <x:c r="D17" s="12" t="str">
        <x:v>PDFDocument</x:v>
      </x:c>
      <x:c r="E17" s="12" t="n">
        <x:v>3</x:v>
      </x:c>
      <x:c r="F17" s="12" t="str">
        <x:v>found</x:v>
      </x:c>
      <x:c r="G17" s="12" t="str">
        <x:v>available</x:v>
      </x:c>
      <x:c r="H17" s="17" t="str">
        <x:v>2015-04-27</x:v>
      </x:c>
      <x:c r="I17" s="12" t="str">
        <x:v>Réponse à l'offre de garde partagée</x:v>
      </x:c>
      <x:c r="J17" s="12" t="str">
        <x:v>piece_pdf-3</x:v>
      </x:c>
    </x:row>
    <x:row r="18">
      <x:c r="A18" s="12" t="str">
        <x:v>P-10</x:v>
      </x:c>
      <x:c r="B18" s="12" t="n">
        <x:v>1</x:v>
      </x:c>
      <x:c r="C18" s="12" t="str">
        <x:v>Email:399</x:v>
      </x:c>
      <x:c r="D18" s="12" t="str">
        <x:v>Email</x:v>
      </x:c>
      <x:c r="E18" s="12" t="n">
        <x:v>399</x:v>
      </x:c>
      <x:c r="F18" s="12" t="str">
        <x:v>found</x:v>
      </x:c>
      <x:c r="G18" s="12" t="str">
        <x:v>available</x:v>
      </x:c>
      <x:c r="H18" s="17" t="n">
        <x:v>42121.784537037034</x:v>
      </x:c>
      <x:c r="I18" s="12" t="str">
        <x:v>Re: Ayoub c. David</x:v>
      </x:c>
      <x:c r="J18" s="12" t="str">
        <x:v>piece_thread-100_email-399</x:v>
      </x:c>
    </x:row>
    <x:row r="19">
      <x:c r="A19" s="12" t="str">
        <x:v>P-11</x:v>
      </x:c>
      <x:c r="B19" s="12" t="n">
        <x:v>1</x:v>
      </x:c>
      <x:c r="C19" s="12" t="str">
        <x:v>Email:343</x:v>
      </x:c>
      <x:c r="D19" s="12" t="str">
        <x:v>Email</x:v>
      </x:c>
      <x:c r="E19" s="12" t="n">
        <x:v>343</x:v>
      </x:c>
      <x:c r="F19" s="12" t="str">
        <x:v>found</x:v>
      </x:c>
      <x:c r="G19" s="12" t="str">
        <x:v>available</x:v>
      </x:c>
      <x:c r="H19" s="17" t="n">
        <x:v>42204.597766203704</x:v>
      </x:c>
      <x:c r="I19" s="12" t="str">
        <x:v>Re: Baptême de Nicolas</x:v>
      </x:c>
      <x:c r="J19" s="12" t="str">
        <x:v>piece_thread-76_email-343</x:v>
      </x:c>
    </x:row>
    <x:row r="20">
      <x:c r="A20" s="12" t="str">
        <x:v>P-12</x:v>
      </x:c>
      <x:c r="B20" s="12" t="n">
        <x:v>1</x:v>
      </x:c>
      <x:c r="C20" s="12" t="str">
        <x:v>PDFDocument:80</x:v>
      </x:c>
      <x:c r="D20" s="12" t="str">
        <x:v>PDFDocument</x:v>
      </x:c>
      <x:c r="E20" s="12" t="n">
        <x:v>80</x:v>
      </x:c>
      <x:c r="F20" s="12" t="str">
        <x:v>found</x:v>
      </x:c>
      <x:c r="G20" s="12" t="str">
        <x:v>available</x:v>
      </x:c>
      <x:c r="H20" s="17" t="str">
        <x:v>2015-07-19</x:v>
      </x:c>
      <x:c r="I20" s="12" t="str">
        <x:v>Certificat de Baptême de Nicolas</x:v>
      </x:c>
      <x:c r="J20" s="12" t="str">
        <x:v>piece_pdf-80</x:v>
      </x:c>
    </x:row>
    <x:row r="21">
      <x:c r="A21" s="12" t="str">
        <x:v>P-13</x:v>
      </x:c>
      <x:c r="B21" s="12" t="n">
        <x:v>1</x:v>
      </x:c>
      <x:c r="C21" s="12" t="str">
        <x:v>PhotoDocument:13</x:v>
      </x:c>
      <x:c r="D21" s="12" t="str">
        <x:v>PhotoDocument</x:v>
      </x:c>
      <x:c r="E21" s="12" t="n">
        <x:v>13</x:v>
      </x:c>
      <x:c r="F21" s="12" t="str">
        <x:v>found</x:v>
      </x:c>
      <x:c r="G21" s="12" t="str">
        <x:v>all_available</x:v>
      </x:c>
      <x:c r="H21" s="17" t="n">
        <x:v>42226.6875</x:v>
      </x:c>
      <x:c r="I21" s="12" t="str">
        <x:v>Courriel LP — demande déchéance attributs autorité parentale (10 août 2015)</x:v>
      </x:c>
      <x:c r="J21" s="12" t="str">
        <x:v>piece_photodoc-13</x:v>
      </x:c>
    </x:row>
    <x:row r="22">
      <x:c r="A22" s="12" t="str">
        <x:v>P-14</x:v>
      </x:c>
      <x:c r="B22" s="12" t="n">
        <x:v>1</x:v>
      </x:c>
      <x:c r="C22" s="12" t="str">
        <x:v>Email:172</x:v>
      </x:c>
      <x:c r="D22" s="12" t="str">
        <x:v>Email</x:v>
      </x:c>
      <x:c r="E22" s="12" t="n">
        <x:v>172</x:v>
      </x:c>
      <x:c r="F22" s="12" t="str">
        <x:v>found</x:v>
      </x:c>
      <x:c r="G22" s="12" t="str">
        <x:v>available</x:v>
      </x:c>
      <x:c r="H22" s="17" t="n">
        <x:v>42264.78225694445</x:v>
      </x:c>
      <x:c r="I22" s="12" t="str">
        <x:v>Re: renocntre</x:v>
      </x:c>
      <x:c r="J22" s="12" t="str">
        <x:v>piece_thread-ecrement_2015</x:v>
      </x:c>
    </x:row>
    <x:row r="23">
      <x:c r="A23" s="12" t="str">
        <x:v>P-14</x:v>
      </x:c>
      <x:c r="B23" s="12" t="n">
        <x:v>2</x:v>
      </x:c>
      <x:c r="C23" s="12" t="str">
        <x:v>Email:173</x:v>
      </x:c>
      <x:c r="D23" s="12" t="str">
        <x:v>Email</x:v>
      </x:c>
      <x:c r="E23" s="12" t="n">
        <x:v>173</x:v>
      </x:c>
      <x:c r="F23" s="12" t="str">
        <x:v>found</x:v>
      </x:c>
      <x:c r="G23" s="12" t="str">
        <x:v>available</x:v>
      </x:c>
      <x:c r="H23" s="17" t="n">
        <x:v>42264.697071759256</x:v>
      </x:c>
      <x:c r="I23" s="12" t="str">
        <x:v>Re: renocntre</x:v>
      </x:c>
      <x:c r="J23" s="12" t="str">
        <x:v>piece_thread-ecrement_2015</x:v>
      </x:c>
    </x:row>
    <x:row r="24">
      <x:c r="A24" s="12" t="str">
        <x:v>P-14</x:v>
      </x:c>
      <x:c r="B24" s="12" t="n">
        <x:v>3</x:v>
      </x:c>
      <x:c r="C24" s="12" t="str">
        <x:v>Email:174</x:v>
      </x:c>
      <x:c r="D24" s="12" t="str">
        <x:v>Email</x:v>
      </x:c>
      <x:c r="E24" s="12" t="n">
        <x:v>174</x:v>
      </x:c>
      <x:c r="F24" s="12" t="str">
        <x:v>found</x:v>
      </x:c>
      <x:c r="G24" s="12" t="str">
        <x:v>available</x:v>
      </x:c>
      <x:c r="H24" s="17" t="n">
        <x:v>42263.79840277778</x:v>
      </x:c>
      <x:c r="I24" s="12" t="str">
        <x:v>renocntre</x:v>
      </x:c>
      <x:c r="J24" s="12" t="str">
        <x:v>piece_thread-ecrement_2015</x:v>
      </x:c>
    </x:row>
    <x:row r="25">
      <x:c r="A25" s="12" t="str">
        <x:v>P-14</x:v>
      </x:c>
      <x:c r="B25" s="12" t="n">
        <x:v>4</x:v>
      </x:c>
      <x:c r="C25" s="12" t="str">
        <x:v>Email:175</x:v>
      </x:c>
      <x:c r="D25" s="12" t="str">
        <x:v>Email</x:v>
      </x:c>
      <x:c r="E25" s="12" t="n">
        <x:v>175</x:v>
      </x:c>
      <x:c r="F25" s="12" t="str">
        <x:v>found</x:v>
      </x:c>
      <x:c r="G25" s="12" t="str">
        <x:v>available</x:v>
      </x:c>
      <x:c r="H25" s="17" t="n">
        <x:v>42284.05100694444</x:v>
      </x:c>
      <x:c r="I25" s="12" t="str">
        <x:v>Fwd: renocntre</x:v>
      </x:c>
      <x:c r="J25" s="12" t="str">
        <x:v>piece_thread-ecrement_2015</x:v>
      </x:c>
    </x:row>
    <x:row r="26">
      <x:c r="A26" s="12" t="str">
        <x:v>P-14</x:v>
      </x:c>
      <x:c r="B26" s="12" t="n">
        <x:v>5</x:v>
      </x:c>
      <x:c r="C26" s="12" t="str">
        <x:v>Email:176</x:v>
      </x:c>
      <x:c r="D26" s="12" t="str">
        <x:v>Email</x:v>
      </x:c>
      <x:c r="E26" s="12" t="n">
        <x:v>176</x:v>
      </x:c>
      <x:c r="F26" s="12" t="str">
        <x:v>found</x:v>
      </x:c>
      <x:c r="G26" s="12" t="str">
        <x:v>available</x:v>
      </x:c>
      <x:c r="H26" s="17" t="n">
        <x:v>42284.50373842593</x:v>
      </x:c>
      <x:c r="I26" s="12" t="str">
        <x:v>Re: renocntre</x:v>
      </x:c>
      <x:c r="J26" s="12" t="str">
        <x:v>piece_thread-ecrement_2015</x:v>
      </x:c>
    </x:row>
    <x:row r="27">
      <x:c r="A27" s="12" t="str">
        <x:v>P-14</x:v>
      </x:c>
      <x:c r="B27" s="12" t="n">
        <x:v>6</x:v>
      </x:c>
      <x:c r="C27" s="12" t="str">
        <x:v>Email:177</x:v>
      </x:c>
      <x:c r="D27" s="12" t="str">
        <x:v>Email</x:v>
      </x:c>
      <x:c r="E27" s="12" t="n">
        <x:v>177</x:v>
      </x:c>
      <x:c r="F27" s="12" t="str">
        <x:v>found</x:v>
      </x:c>
      <x:c r="G27" s="12" t="str">
        <x:v>available</x:v>
      </x:c>
      <x:c r="H27" s="17" t="n">
        <x:v>42284.49855324074</x:v>
      </x:c>
      <x:c r="I27" s="12" t="str">
        <x:v>Re: renocntre</x:v>
      </x:c>
      <x:c r="J27" s="12" t="str">
        <x:v>piece_thread-ecrement_2015</x:v>
      </x:c>
    </x:row>
    <x:row r="28">
      <x:c r="A28" s="12" t="str">
        <x:v>P-14</x:v>
      </x:c>
      <x:c r="B28" s="12" t="n">
        <x:v>7</x:v>
      </x:c>
      <x:c r="C28" s="12" t="str">
        <x:v>Email:178</x:v>
      </x:c>
      <x:c r="D28" s="12" t="str">
        <x:v>Email</x:v>
      </x:c>
      <x:c r="E28" s="12" t="n">
        <x:v>178</x:v>
      </x:c>
      <x:c r="F28" s="12" t="str">
        <x:v>found</x:v>
      </x:c>
      <x:c r="G28" s="12" t="str">
        <x:v>available</x:v>
      </x:c>
      <x:c r="H28" s="17" t="n">
        <x:v>42284.501064814816</x:v>
      </x:c>
      <x:c r="I28" s="12" t="str">
        <x:v>Re: renocntre</x:v>
      </x:c>
      <x:c r="J28" s="12" t="str">
        <x:v>piece_thread-ecrement_2015</x:v>
      </x:c>
    </x:row>
    <x:row r="29">
      <x:c r="A29" s="12" t="str">
        <x:v>P-14</x:v>
      </x:c>
      <x:c r="B29" s="12" t="n">
        <x:v>8</x:v>
      </x:c>
      <x:c r="C29" s="12" t="str">
        <x:v>Email:179</x:v>
      </x:c>
      <x:c r="D29" s="12" t="str">
        <x:v>Email</x:v>
      </x:c>
      <x:c r="E29" s="12" t="n">
        <x:v>179</x:v>
      </x:c>
      <x:c r="F29" s="12" t="str">
        <x:v>found</x:v>
      </x:c>
      <x:c r="G29" s="12" t="str">
        <x:v>available</x:v>
      </x:c>
      <x:c r="H29" s="17" t="n">
        <x:v>42264.644270833334</x:v>
      </x:c>
      <x:c r="I29" s="12" t="str">
        <x:v>Re: renocntre</x:v>
      </x:c>
      <x:c r="J29" s="12" t="str">
        <x:v>piece_thread-ecrement_2015</x:v>
      </x:c>
    </x:row>
    <x:row r="30">
      <x:c r="A30" s="12" t="str">
        <x:v>P-14</x:v>
      </x:c>
      <x:c r="B30" s="12" t="n">
        <x:v>9</x:v>
      </x:c>
      <x:c r="C30" s="12" t="str">
        <x:v>Email:180</x:v>
      </x:c>
      <x:c r="D30" s="12" t="str">
        <x:v>Email</x:v>
      </x:c>
      <x:c r="E30" s="12" t="n">
        <x:v>180</x:v>
      </x:c>
      <x:c r="F30" s="12" t="str">
        <x:v>found</x:v>
      </x:c>
      <x:c r="G30" s="12" t="str">
        <x:v>available</x:v>
      </x:c>
      <x:c r="H30" s="17" t="n">
        <x:v>42284.493784722225</x:v>
      </x:c>
      <x:c r="I30" s="12" t="str">
        <x:v>Re: renocntre</x:v>
      </x:c>
      <x:c r="J30" s="12" t="str">
        <x:v>piece_thread-ecrement_2015</x:v>
      </x:c>
    </x:row>
    <x:row r="31">
      <x:c r="A31" s="12" t="str">
        <x:v>P-14</x:v>
      </x:c>
      <x:c r="B31" s="12" t="n">
        <x:v>10</x:v>
      </x:c>
      <x:c r="C31" s="12" t="str">
        <x:v>Email:181</x:v>
      </x:c>
      <x:c r="D31" s="12" t="str">
        <x:v>Email</x:v>
      </x:c>
      <x:c r="E31" s="12" t="n">
        <x:v>181</x:v>
      </x:c>
      <x:c r="F31" s="12" t="str">
        <x:v>found</x:v>
      </x:c>
      <x:c r="G31" s="12" t="str">
        <x:v>available</x:v>
      </x:c>
      <x:c r="H31" s="17" t="n">
        <x:v>42264.69248842593</x:v>
      </x:c>
      <x:c r="I31" s="12" t="str">
        <x:v>Re: renocntre</x:v>
      </x:c>
      <x:c r="J31" s="12" t="str">
        <x:v>piece_thread-ecrement_2015</x:v>
      </x:c>
    </x:row>
    <x:row r="32">
      <x:c r="A32" s="12" t="str">
        <x:v>P-14</x:v>
      </x:c>
      <x:c r="B32" s="12" t="n">
        <x:v>11</x:v>
      </x:c>
      <x:c r="C32" s="12" t="str">
        <x:v>Email:182</x:v>
      </x:c>
      <x:c r="D32" s="12" t="str">
        <x:v>Email</x:v>
      </x:c>
      <x:c r="E32" s="12" t="n">
        <x:v>182</x:v>
      </x:c>
      <x:c r="F32" s="12" t="str">
        <x:v>found</x:v>
      </x:c>
      <x:c r="G32" s="12" t="str">
        <x:v>available</x:v>
      </x:c>
      <x:c r="H32" s="17" t="n">
        <x:v>42264.634247685186</x:v>
      </x:c>
      <x:c r="I32" s="12" t="str">
        <x:v>Re: renocntre</x:v>
      </x:c>
      <x:c r="J32" s="12" t="str">
        <x:v>piece_thread-ecrement_2015</x:v>
      </x:c>
    </x:row>
    <x:row r="33">
      <x:c r="A33" s="12" t="str">
        <x:v>P-14</x:v>
      </x:c>
      <x:c r="B33" s="12" t="n">
        <x:v>12</x:v>
      </x:c>
      <x:c r="C33" s="12" t="str">
        <x:v>Email:183</x:v>
      </x:c>
      <x:c r="D33" s="12" t="str">
        <x:v>Email</x:v>
      </x:c>
      <x:c r="E33" s="12" t="n">
        <x:v>183</x:v>
      </x:c>
      <x:c r="F33" s="12" t="str">
        <x:v>found</x:v>
      </x:c>
      <x:c r="G33" s="12" t="str">
        <x:v>available</x:v>
      </x:c>
      <x:c r="H33" s="17" t="n">
        <x:v>42264.65526620371</x:v>
      </x:c>
      <x:c r="I33" s="12" t="str">
        <x:v>Re: renocntre</x:v>
      </x:c>
      <x:c r="J33" s="12" t="str">
        <x:v>piece_thread-ecrement_2015</x:v>
      </x:c>
    </x:row>
    <x:row r="34">
      <x:c r="A34" s="12" t="str">
        <x:v>P-14</x:v>
      </x:c>
      <x:c r="B34" s="12" t="n">
        <x:v>13</x:v>
      </x:c>
      <x:c r="C34" s="12" t="str">
        <x:v>Email:184</x:v>
      </x:c>
      <x:c r="D34" s="12" t="str">
        <x:v>Email</x:v>
      </x:c>
      <x:c r="E34" s="12" t="n">
        <x:v>184</x:v>
      </x:c>
      <x:c r="F34" s="12" t="str">
        <x:v>found</x:v>
      </x:c>
      <x:c r="G34" s="12" t="str">
        <x:v>available</x:v>
      </x:c>
      <x:c r="H34" s="17" t="n">
        <x:v>42263.94525462963</x:v>
      </x:c>
      <x:c r="I34" s="12" t="str">
        <x:v>Re: renocntre</x:v>
      </x:c>
      <x:c r="J34" s="12" t="str">
        <x:v>piece_thread-ecrement_2015</x:v>
      </x:c>
    </x:row>
    <x:row r="35">
      <x:c r="A35" s="12" t="str">
        <x:v>P-14</x:v>
      </x:c>
      <x:c r="B35" s="12" t="n">
        <x:v>14</x:v>
      </x:c>
      <x:c r="C35" s="12" t="str">
        <x:v>Email:20</x:v>
      </x:c>
      <x:c r="D35" s="12" t="str">
        <x:v>Email</x:v>
      </x:c>
      <x:c r="E35" s="12" t="n">
        <x:v>20</x:v>
      </x:c>
      <x:c r="F35" s="12" t="str">
        <x:v>found</x:v>
      </x:c>
      <x:c r="G35" s="12" t="str">
        <x:v>available</x:v>
      </x:c>
      <x:c r="H35" s="17" t="n">
        <x:v>42264.65914351852</x:v>
      </x:c>
      <x:c r="I35" s="12" t="str">
        <x:v>Re: renocntre</x:v>
      </x:c>
      <x:c r="J35" s="12" t="str">
        <x:v>piece_thread-ecrement_2015</x:v>
      </x:c>
    </x:row>
    <x:row r="36">
      <x:c r="A36" s="12" t="str">
        <x:v>P-14</x:v>
      </x:c>
      <x:c r="B36" s="12" t="n">
        <x:v>15</x:v>
      </x:c>
      <x:c r="C36" s="12" t="str">
        <x:v>EmailThread:16</x:v>
      </x:c>
      <x:c r="D36" s="12" t="str">
        <x:v>EmailThread</x:v>
      </x:c>
      <x:c r="E36" s="12" t="n">
        <x:v>16</x:v>
      </x:c>
      <x:c r="F36" s="12" t="str">
        <x:v>found</x:v>
      </x:c>
      <x:c r="G36" s="12" t="str">
        <x:v>all_available</x:v>
      </x:c>
      <x:c r="H36" s="17" t="n">
        <x:v>42263.79840277778</x:v>
      </x:c>
      <x:c r="I36" s="12" t="str">
        <x:v>Re: renocntre</x:v>
      </x:c>
      <x:c r="J36" s="12" t="str">
        <x:v>piece_thread-ecrement_2015</x:v>
      </x:c>
    </x:row>
    <x:row r="37">
      <x:c r="A37" s="12" t="str">
        <x:v>P-15</x:v>
      </x:c>
      <x:c r="B37" s="12" t="n">
        <x:v>1</x:v>
      </x:c>
      <x:c r="C37" s="12" t="str">
        <x:v>Photo:4551</x:v>
      </x:c>
      <x:c r="D37" s="12" t="str">
        <x:v>Photo</x:v>
      </x:c>
      <x:c r="E37" s="12" t="n">
        <x:v>4551</x:v>
      </x:c>
      <x:c r="F37" s="12" t="str">
        <x:v>found</x:v>
      </x:c>
      <x:c r="G37" s="12" t="str">
        <x:v>available</x:v>
      </x:c>
      <x:c r="H37" s="17" t="n">
        <x:v>42284.520833333336</x:v>
      </x:c>
      <x:c r="I37" s="12" t="str">
        <x:v>P-4 claudia ecrement.png</x:v>
      </x:c>
      <x:c r="J37" s="12" t="str">
        <x:v>piece_photo-4551</x:v>
      </x:c>
    </x:row>
    <x:row r="38">
      <x:c r="A38" s="12" t="str">
        <x:v>P-16</x:v>
      </x:c>
      <x:c r="B38" s="12" t="n">
        <x:v>1</x:v>
      </x:c>
      <x:c r="C38" s="12" t="str">
        <x:v>PDFDocument:5</x:v>
      </x:c>
      <x:c r="D38" s="12" t="str">
        <x:v>PDFDocument</x:v>
      </x:c>
      <x:c r="E38" s="12" t="n">
        <x:v>5</x:v>
      </x:c>
      <x:c r="F38" s="12" t="str">
        <x:v>found</x:v>
      </x:c>
      <x:c r="G38" s="12" t="str">
        <x:v>available</x:v>
      </x:c>
      <x:c r="H38" s="17" t="str">
        <x:v>2015-08-13</x:v>
      </x:c>
      <x:c r="I38" s="12" t="str">
        <x:v>20150813 MJ projet consentement</x:v>
      </x:c>
      <x:c r="J38" s="12" t="str">
        <x:v>piece_pdf-5</x:v>
      </x:c>
    </x:row>
    <x:row r="39">
      <x:c r="A39" s="12" t="str">
        <x:v>P-17</x:v>
      </x:c>
      <x:c r="B39" s="12" t="n">
        <x:v>1</x:v>
      </x:c>
      <x:c r="C39" s="12" t="str">
        <x:v>PDFDocument:6</x:v>
      </x:c>
      <x:c r="D39" s="12" t="str">
        <x:v>PDFDocument</x:v>
      </x:c>
      <x:c r="E39" s="12" t="n">
        <x:v>6</x:v>
      </x:c>
      <x:c r="F39" s="12" t="str">
        <x:v>found</x:v>
      </x:c>
      <x:c r="G39" s="12" t="str">
        <x:v>available</x:v>
      </x:c>
      <x:c r="H39" s="17" t="str">
        <x:v>2015-09-02</x:v>
      </x:c>
      <x:c r="I39" s="12" t="str">
        <x:v>20150902 FP réponse projet consentement</x:v>
      </x:c>
      <x:c r="J39" s="12" t="str">
        <x:v>piece_pdf-6</x:v>
      </x:c>
    </x:row>
    <x:row r="40">
      <x:c r="A40" s="12" t="str">
        <x:v>P-18</x:v>
      </x:c>
      <x:c r="B40" s="12" t="n">
        <x:v>1</x:v>
      </x:c>
      <x:c r="C40" s="12" t="str">
        <x:v>PDFDocument:7</x:v>
      </x:c>
      <x:c r="D40" s="12" t="str">
        <x:v>PDFDocument</x:v>
      </x:c>
      <x:c r="E40" s="12" t="n">
        <x:v>7</x:v>
      </x:c>
      <x:c r="F40" s="12" t="str">
        <x:v>found</x:v>
      </x:c>
      <x:c r="G40" s="12" t="str">
        <x:v>available</x:v>
      </x:c>
      <x:c r="H40" s="17" t="str">
        <x:v>2015-09-03</x:v>
      </x:c>
      <x:c r="I40" s="12" t="str">
        <x:v>Réponse finale à l'offre d'une progression vers une garde partagée</x:v>
      </x:c>
      <x:c r="J40" s="12" t="str">
        <x:v>piece_pdf-7</x:v>
      </x:c>
    </x:row>
    <x:row r="41">
      <x:c r="A41" s="12" t="str">
        <x:v>P-19</x:v>
      </x:c>
      <x:c r="B41" s="12" t="n">
        <x:v>1</x:v>
      </x:c>
      <x:c r="C41" s="12" t="str">
        <x:v>Document:1</x:v>
      </x:c>
      <x:c r="D41" s="12" t="str">
        <x:v>Document</x:v>
      </x:c>
      <x:c r="E41" s="12" t="n">
        <x:v>1</x:v>
      </x:c>
      <x:c r="F41" s="12" t="str">
        <x:v>found</x:v>
      </x:c>
      <x:c r="G41" s="12" t="str">
        <x:v>available</x:v>
      </x:c>
      <x:c r="H41" s="17" t="str">
        <x:v>2015-11-27</x:v>
      </x:c>
      <x:c r="I41" s="12" t="str">
        <x:v>REQUÊTE EN GARDE, FIXATION DE LA PENSION ALIMENTAIRE POUR ENFANT ET ORDONNANCE DE SAUVEGARDE</x:v>
      </x:c>
      <x:c r="J41" s="12" t="str">
        <x:v>piece_document-1</x:v>
      </x:c>
    </x:row>
    <x:row r="42">
      <x:c r="A42" s="12" t="str">
        <x:v>P-20</x:v>
      </x:c>
      <x:c r="B42" s="12" t="n">
        <x:v>1</x:v>
      </x:c>
      <x:c r="C42" s="12" t="str">
        <x:v>Email:16</x:v>
      </x:c>
      <x:c r="D42" s="12" t="str">
        <x:v>Email</x:v>
      </x:c>
      <x:c r="E42" s="12" t="n">
        <x:v>16</x:v>
      </x:c>
      <x:c r="F42" s="12" t="str">
        <x:v>found</x:v>
      </x:c>
      <x:c r="G42" s="12" t="str">
        <x:v>available</x:v>
      </x:c>
      <x:c r="H42" s="17" t="n">
        <x:v>42380.95980324074</x:v>
      </x:c>
      <x:c r="I42" s="12" t="str">
        <x:v>Re: Dépenses</x:v>
      </x:c>
      <x:c r="J42" s="12" t="str">
        <x:v>piece_thread-12_email-16</x:v>
      </x:c>
    </x:row>
    <x:row r="43">
      <x:c r="A43" s="12" t="str">
        <x:v>P-21</x:v>
      </x:c>
      <x:c r="B43" s="12" t="n">
        <x:v>1</x:v>
      </x:c>
      <x:c r="C43" s="12" t="str">
        <x:v>PDFDocument:14</x:v>
      </x:c>
      <x:c r="D43" s="12" t="str">
        <x:v>PDFDocument</x:v>
      </x:c>
      <x:c r="E43" s="12" t="n">
        <x:v>14</x:v>
      </x:c>
      <x:c r="F43" s="12" t="str">
        <x:v>found</x:v>
      </x:c>
      <x:c r="G43" s="12" t="str">
        <x:v>available</x:v>
      </x:c>
      <x:c r="H43" s="17" t="str">
        <x:v>2016-01-14</x:v>
      </x:c>
      <x:c r="I43" s="12" t="str">
        <x:v>Jugement sur la garde des enfants</x:v>
      </x:c>
      <x:c r="J43" s="12" t="str">
        <x:v>piece_pdf-14</x:v>
      </x:c>
    </x:row>
    <x:row r="44">
      <x:c r="A44" s="12" t="str">
        <x:v>P-22</x:v>
      </x:c>
      <x:c r="B44" s="12" t="n">
        <x:v>1</x:v>
      </x:c>
      <x:c r="C44" s="12" t="str">
        <x:v>Email:295</x:v>
      </x:c>
      <x:c r="D44" s="12" t="str">
        <x:v>Email</x:v>
      </x:c>
      <x:c r="E44" s="12" t="n">
        <x:v>295</x:v>
      </x:c>
      <x:c r="F44" s="12" t="str">
        <x:v>found</x:v>
      </x:c>
      <x:c r="G44" s="12" t="str">
        <x:v>available</x:v>
      </x:c>
      <x:c r="H44" s="17" t="n">
        <x:v>42629.67215277778</x:v>
      </x:c>
      <x:c r="I44" s="12" t="str">
        <x:v>Re: Visite</x:v>
      </x:c>
      <x:c r="J44" s="12" t="str">
        <x:v>piece_thread-6_reconstruction email-6/8/295/306</x:v>
      </x:c>
    </x:row>
    <x:row r="45">
      <x:c r="A45" s="12" t="str">
        <x:v>P-22</x:v>
      </x:c>
      <x:c r="B45" s="12" t="n">
        <x:v>2</x:v>
      </x:c>
      <x:c r="C45" s="12" t="str">
        <x:v>Email:306</x:v>
      </x:c>
      <x:c r="D45" s="12" t="str">
        <x:v>Email</x:v>
      </x:c>
      <x:c r="E45" s="12" t="n">
        <x:v>306</x:v>
      </x:c>
      <x:c r="F45" s="12" t="str">
        <x:v>found</x:v>
      </x:c>
      <x:c r="G45" s="12" t="str">
        <x:v>available</x:v>
      </x:c>
      <x:c r="H45" s="17" t="n">
        <x:v>42629.86844907407</x:v>
      </x:c>
      <x:c r="I45" s="12" t="str">
        <x:v>Re: Visite</x:v>
      </x:c>
      <x:c r="J45" s="12" t="str">
        <x:v>piece_thread-6_reconstruction email-6/8/295/306</x:v>
      </x:c>
    </x:row>
    <x:row r="46">
      <x:c r="A46" s="12" t="str">
        <x:v>P-22</x:v>
      </x:c>
      <x:c r="B46" s="12" t="n">
        <x:v>3</x:v>
      </x:c>
      <x:c r="C46" s="12" t="str">
        <x:v>Email:6</x:v>
      </x:c>
      <x:c r="D46" s="12" t="str">
        <x:v>Email</x:v>
      </x:c>
      <x:c r="E46" s="12" t="n">
        <x:v>6</x:v>
      </x:c>
      <x:c r="F46" s="12" t="str">
        <x:v>found</x:v>
      </x:c>
      <x:c r="G46" s="12" t="str">
        <x:v>available</x:v>
      </x:c>
      <x:c r="H46" s="17" t="n">
        <x:v>42629.93409722222</x:v>
      </x:c>
      <x:c r="I46" s="12" t="str">
        <x:v>Re: Visite</x:v>
      </x:c>
      <x:c r="J46" s="12" t="str">
        <x:v>piece_thread-6_reconstruction email-6/8/295/306</x:v>
      </x:c>
    </x:row>
    <x:row r="47">
      <x:c r="A47" s="12" t="str">
        <x:v>P-22</x:v>
      </x:c>
      <x:c r="B47" s="12" t="n">
        <x:v>4</x:v>
      </x:c>
      <x:c r="C47" s="12" t="str">
        <x:v>Email:8</x:v>
      </x:c>
      <x:c r="D47" s="12" t="str">
        <x:v>Email</x:v>
      </x:c>
      <x:c r="E47" s="12" t="n">
        <x:v>8</x:v>
      </x:c>
      <x:c r="F47" s="12" t="str">
        <x:v>found</x:v>
      </x:c>
      <x:c r="G47" s="12" t="str">
        <x:v>available</x:v>
      </x:c>
      <x:c r="H47" s="17" t="n">
        <x:v>42629.83833333333</x:v>
      </x:c>
      <x:c r="I47" s="12" t="str">
        <x:v>Re: Visite</x:v>
      </x:c>
      <x:c r="J47" s="12" t="str">
        <x:v>piece_thread-6_reconstruction email-6/8/295/306</x:v>
      </x:c>
    </x:row>
    <x:row r="48">
      <x:c r="A48" s="12" t="str">
        <x:v>P-22</x:v>
      </x:c>
      <x:c r="B48" s="12" t="n">
        <x:v>5</x:v>
      </x:c>
      <x:c r="C48" s="12" t="str">
        <x:v>EmailThread:6</x:v>
      </x:c>
      <x:c r="D48" s="12" t="str">
        <x:v>EmailThread</x:v>
      </x:c>
      <x:c r="E48" s="12" t="n">
        <x:v>6</x:v>
      </x:c>
      <x:c r="F48" s="12" t="str">
        <x:v>found</x:v>
      </x:c>
      <x:c r="G48" s="12" t="str">
        <x:v>all_available</x:v>
      </x:c>
      <x:c r="H48" s="17" t="n">
        <x:v>42629.56984953704</x:v>
      </x:c>
      <x:c r="I48" s="12" t="str">
        <x:v>Re: Visite</x:v>
      </x:c>
      <x:c r="J48" s="12" t="str">
        <x:v>piece_thread-6_reconstruction email-6/8/295/306</x:v>
      </x:c>
    </x:row>
    <x:row r="49">
      <x:c r="A49" s="12" t="str">
        <x:v>P-23</x:v>
      </x:c>
      <x:c r="B49" s="12" t="n">
        <x:v>1</x:v>
      </x:c>
      <x:c r="C49" s="12" t="str">
        <x:v>Email:5</x:v>
      </x:c>
      <x:c r="D49" s="12" t="str">
        <x:v>Email</x:v>
      </x:c>
      <x:c r="E49" s="12" t="n">
        <x:v>5</x:v>
      </x:c>
      <x:c r="F49" s="12" t="str">
        <x:v>found</x:v>
      </x:c>
      <x:c r="G49" s="12" t="str">
        <x:v>available</x:v>
      </x:c>
      <x:c r="H49" s="17" t="n">
        <x:v>42639.802349537036</x:v>
      </x:c>
      <x:c r="I49" s="12" t="str">
        <x:v>Re: dimanche prochain</x:v>
      </x:c>
      <x:c r="J49" s="12" t="str">
        <x:v>piece_thread-5_email-5</x:v>
      </x:c>
    </x:row>
    <x:row r="50">
      <x:c r="A50" s="12" t="str">
        <x:v>P-24</x:v>
      </x:c>
      <x:c r="B50" s="12" t="n">
        <x:v>1</x:v>
      </x:c>
      <x:c r="C50" s="12" t="str">
        <x:v>EmailThread:111</x:v>
      </x:c>
      <x:c r="D50" s="12" t="str">
        <x:v>EmailThread</x:v>
      </x:c>
      <x:c r="E50" s="12" t="n">
        <x:v>111</x:v>
      </x:c>
      <x:c r="F50" s="12" t="str">
        <x:v>found</x:v>
      </x:c>
      <x:c r="G50" s="12" t="str">
        <x:v>all_available</x:v>
      </x:c>
      <x:c r="H50" s="17" t="n">
        <x:v>43257.720821759256</x:v>
      </x:c>
      <x:c r="I50" s="12" t="str">
        <x:v>Fin d'emplois</x:v>
      </x:c>
      <x:c r="J50" s="12" t="str">
        <x:v>piece_thread-111_congediement_bnc</x:v>
      </x:c>
    </x:row>
    <x:row r="51">
      <x:c r="A51" s="12" t="str">
        <x:v>P-25</x:v>
      </x:c>
      <x:c r="B51" s="12" t="n">
        <x:v>1</x:v>
      </x:c>
      <x:c r="C51" s="12" t="str">
        <x:v>Email:484</x:v>
      </x:c>
      <x:c r="D51" s="12" t="str">
        <x:v>Email</x:v>
      </x:c>
      <x:c r="E51" s="12" t="n">
        <x:v>484</x:v>
      </x:c>
      <x:c r="F51" s="12" t="str">
        <x:v>found</x:v>
      </x:c>
      <x:c r="G51" s="12" t="str">
        <x:v>available</x:v>
      </x:c>
      <x:c r="H51" s="17" t="n">
        <x:v>43622.714537037034</x:v>
      </x:c>
      <x:c r="I51" s="12" t="str">
        <x:v>pension</x:v>
      </x:c>
      <x:c r="J51" s="12" t="str">
        <x:v>piece_thread-119_email-484</x:v>
      </x:c>
    </x:row>
    <x:row r="52">
      <x:c r="A52" s="12" t="str">
        <x:v>P-26</x:v>
      </x:c>
      <x:c r="B52" s="12" t="n">
        <x:v>1</x:v>
      </x:c>
      <x:c r="C52" s="12" t="str">
        <x:v>PDFDocument:15</x:v>
      </x:c>
      <x:c r="D52" s="12" t="str">
        <x:v>PDFDocument</x:v>
      </x:c>
      <x:c r="E52" s="12" t="n">
        <x:v>15</x:v>
      </x:c>
      <x:c r="F52" s="12" t="str">
        <x:v>found</x:v>
      </x:c>
      <x:c r="G52" s="12" t="str">
        <x:v>available</x:v>
      </x:c>
      <x:c r="H52" s="17" t="str">
        <x:v>2019-09-27</x:v>
      </x:c>
      <x:c r="I52" s="12" t="str">
        <x:v>Jugement Intérimaire</x:v>
      </x:c>
      <x:c r="J52" s="12" t="str">
        <x:v>piece_pdf-15</x:v>
      </x:c>
    </x:row>
    <x:row r="53">
      <x:c r="A53" s="12" t="str">
        <x:v>P-27</x:v>
      </x:c>
      <x:c r="B53" s="12" t="n">
        <x:v>1</x:v>
      </x:c>
      <x:c r="C53" s="12" t="str">
        <x:v>Email:615</x:v>
      </x:c>
      <x:c r="D53" s="12" t="str">
        <x:v>Email</x:v>
      </x:c>
      <x:c r="E53" s="12" t="n">
        <x:v>615</x:v>
      </x:c>
      <x:c r="F53" s="12" t="str">
        <x:v>found</x:v>
      </x:c>
      <x:c r="G53" s="12" t="str">
        <x:v>available</x:v>
      </x:c>
      <x:c r="H53" s="17" t="n">
        <x:v>43753.85290509259</x:v>
      </x:c>
      <x:c r="I53" s="12" t="str">
        <x:v>Re: demandes d'emplois</x:v>
      </x:c>
      <x:c r="J53" s="12" t="str">
        <x:v>piece_thread-156_email-615</x:v>
      </x:c>
    </x:row>
    <x:row r="54">
      <x:c r="A54" s="12" t="str">
        <x:v>P-28</x:v>
      </x:c>
      <x:c r="B54" s="12" t="n">
        <x:v>1</x:v>
      </x:c>
      <x:c r="C54" s="12" t="str">
        <x:v>PhotoDocument:17</x:v>
      </x:c>
      <x:c r="D54" s="12" t="str">
        <x:v>PhotoDocument</x:v>
      </x:c>
      <x:c r="E54" s="12" t="n">
        <x:v>17</x:v>
      </x:c>
      <x:c r="F54" s="12" t="str">
        <x:v>found</x:v>
      </x:c>
      <x:c r="G54" s="12" t="str">
        <x:v>all_available</x:v>
      </x:c>
      <x:c r="H54" s="17" t="n">
        <x:v>43830.71041666667</x:v>
      </x:c>
      <x:c r="I54" s="12" t="str">
        <x:v>Déclaration revenus 2019</x:v>
      </x:c>
      <x:c r="J54" s="12" t="str">
        <x:v>piece_photodoc-17</x:v>
      </x:c>
    </x:row>
    <x:row r="55">
      <x:c r="A55" s="12" t="str">
        <x:v>P-29</x:v>
      </x:c>
      <x:c r="B55" s="12" t="n">
        <x:v>1</x:v>
      </x:c>
      <x:c r="C55" s="12" t="str">
        <x:v>PDFDocument:16</x:v>
      </x:c>
      <x:c r="D55" s="12" t="str">
        <x:v>PDFDocument</x:v>
      </x:c>
      <x:c r="E55" s="12" t="n">
        <x:v>16</x:v>
      </x:c>
      <x:c r="F55" s="12" t="str">
        <x:v>found</x:v>
      </x:c>
      <x:c r="G55" s="12" t="str">
        <x:v>available</x:v>
      </x:c>
      <x:c r="H55" s="17" t="str">
        <x:v>2019-10-21</x:v>
      </x:c>
      <x:c r="I55" s="12" t="str">
        <x:v>Formulaire de pension alimentaire Jugement sur le fond</x:v>
      </x:c>
      <x:c r="J55" s="12" t="str">
        <x:v>piece_pdf-16</x:v>
      </x:c>
    </x:row>
    <x:row r="56">
      <x:c r="A56" s="12" t="str">
        <x:v>P-30</x:v>
      </x:c>
      <x:c r="B56" s="12" t="n">
        <x:v>1</x:v>
      </x:c>
      <x:c r="C56" s="12" t="str">
        <x:v>Email:485</x:v>
      </x:c>
      <x:c r="D56" s="12" t="str">
        <x:v>Email</x:v>
      </x:c>
      <x:c r="E56" s="12" t="n">
        <x:v>485</x:v>
      </x:c>
      <x:c r="F56" s="12" t="str">
        <x:v>found</x:v>
      </x:c>
      <x:c r="G56" s="12" t="str">
        <x:v>available</x:v>
      </x:c>
      <x:c r="H56" s="17" t="n">
        <x:v>43759.78241898148</x:v>
      </x:c>
      <x:c r="I56" s="12" t="str">
        <x:v>Frais médicaux impayé (point 7)</x:v>
      </x:c>
      <x:c r="J56" s="12" t="str">
        <x:v>piece_thread-120_email-485 ; piece_thread-121_email-486</x:v>
      </x:c>
    </x:row>
    <x:row r="57">
      <x:c r="A57" s="12" t="str">
        <x:v>P-30</x:v>
      </x:c>
      <x:c r="B57" s="12" t="n">
        <x:v>2</x:v>
      </x:c>
      <x:c r="C57" s="12" t="str">
        <x:v>Email:486</x:v>
      </x:c>
      <x:c r="D57" s="12" t="str">
        <x:v>Email</x:v>
      </x:c>
      <x:c r="E57" s="12" t="n">
        <x:v>486</x:v>
      </x:c>
      <x:c r="F57" s="12" t="str">
        <x:v>found_outside_union_audit</x:v>
      </x:c>
      <x:c r="G57" s="12" t="str">
        <x:v>available</x:v>
      </x:c>
      <x:c r="H57" s="17" t="n">
        <x:v>43759.796956018516</x:v>
      </x:c>
      <x:c r="I57" s="12" t="str">
        <x:v>refus de prendre les enfants les jours de congé (point 6.C)</x:v>
      </x:c>
      <x:c r="J57" s="12" t="str">
        <x:v>piece_thread-120_email-485 ; piece_thread-121_email-486</x:v>
      </x:c>
    </x:row>
    <x:row r="58">
      <x:c r="A58" s="12" t="str">
        <x:v>P-31</x:v>
      </x:c>
      <x:c r="B58" s="12" t="n">
        <x:v>1</x:v>
      </x:c>
      <x:c r="C58" s="12" t="str">
        <x:v>Email:642</x:v>
      </x:c>
      <x:c r="D58" s="12" t="str">
        <x:v>Email</x:v>
      </x:c>
      <x:c r="E58" s="12" t="n">
        <x:v>642</x:v>
      </x:c>
      <x:c r="F58" s="12" t="str">
        <x:v>found</x:v>
      </x:c>
      <x:c r="G58" s="12" t="str">
        <x:v>available</x:v>
      </x:c>
      <x:c r="H58" s="17" t="n">
        <x:v>43759.605787037035</x:v>
      </x:c>
      <x:c r="I58" s="12" t="str">
        <x:v>Fwd:</x:v>
      </x:c>
      <x:c r="J58" s="12" t="str">
        <x:v>piece_thread-160_email-642</x:v>
      </x:c>
    </x:row>
    <x:row r="59">
      <x:c r="A59" s="12" t="str">
        <x:v>P-32</x:v>
      </x:c>
      <x:c r="B59" s="12" t="n">
        <x:v>1</x:v>
      </x:c>
      <x:c r="C59" s="12" t="str">
        <x:v>PDFDocument:81</x:v>
      </x:c>
      <x:c r="D59" s="12" t="str">
        <x:v>PDFDocument</x:v>
      </x:c>
      <x:c r="E59" s="12" t="n">
        <x:v>81</x:v>
      </x:c>
      <x:c r="F59" s="12" t="str">
        <x:v>found</x:v>
      </x:c>
      <x:c r="G59" s="12" t="str">
        <x:v>available</x:v>
      </x:c>
      <x:c r="H59" s="17" t="str">
        <x:v>2019-01-01</x:v>
      </x:c>
      <x:c r="I59" s="12" t="str">
        <x:v>Etat de compte pension alimentaire</x:v>
      </x:c>
      <x:c r="J59" s="12" t="str">
        <x:v>piece_pdf-81</x:v>
      </x:c>
    </x:row>
    <x:row r="60">
      <x:c r="A60" s="12" t="str">
        <x:v>P-33</x:v>
      </x:c>
      <x:c r="B60" s="12" t="n">
        <x:v>1</x:v>
      </x:c>
      <x:c r="C60" s="12" t="str">
        <x:v>PDFDocument:82</x:v>
      </x:c>
      <x:c r="D60" s="12" t="str">
        <x:v>PDFDocument</x:v>
      </x:c>
      <x:c r="E60" s="12" t="n">
        <x:v>82</x:v>
      </x:c>
      <x:c r="F60" s="12" t="str">
        <x:v>found</x:v>
      </x:c>
      <x:c r="G60" s="12" t="str">
        <x:v>available</x:v>
      </x:c>
      <x:c r="H60" s="17" t="str">
        <x:v>2019-11-04</x:v>
      </x:c>
      <x:c r="I60" s="12" t="str">
        <x:v>formulaire pension alimentaire père</x:v>
      </x:c>
      <x:c r="J60" s="12" t="str">
        <x:v>piece_pdf-82</x:v>
      </x:c>
    </x:row>
    <x:row r="61">
      <x:c r="A61" s="12" t="str">
        <x:v>P-34</x:v>
      </x:c>
      <x:c r="B61" s="12" t="n">
        <x:v>1</x:v>
      </x:c>
      <x:c r="C61" s="12" t="str">
        <x:v>PDFDocument:13</x:v>
      </x:c>
      <x:c r="D61" s="12" t="str">
        <x:v>PDFDocument</x:v>
      </x:c>
      <x:c r="E61" s="12" t="n">
        <x:v>13</x:v>
      </x:c>
      <x:c r="F61" s="12" t="str">
        <x:v>found</x:v>
      </x:c>
      <x:c r="G61" s="12" t="str">
        <x:v>available</x:v>
      </x:c>
      <x:c r="H61" s="17" t="str">
        <x:v>2019-11-04</x:v>
      </x:c>
      <x:c r="I61" s="12" t="str">
        <x:v>Jugement sur le fond (perte emplois)</x:v>
      </x:c>
      <x:c r="J61" s="12" t="str">
        <x:v>piece_pdf-13</x:v>
      </x:c>
    </x:row>
    <x:row r="62">
      <x:c r="A62" s="12" t="str">
        <x:v>P-35</x:v>
      </x:c>
      <x:c r="B62" s="12" t="n">
        <x:v>1</x:v>
      </x:c>
      <x:c r="C62" s="12" t="str">
        <x:v>PDFDocument:35</x:v>
      </x:c>
      <x:c r="D62" s="12" t="str">
        <x:v>PDFDocument</x:v>
      </x:c>
      <x:c r="E62" s="12" t="n">
        <x:v>35</x:v>
      </x:c>
      <x:c r="F62" s="12" t="str">
        <x:v>found</x:v>
      </x:c>
      <x:c r="G62" s="12" t="str">
        <x:v>available</x:v>
      </x:c>
      <x:c r="H62" s="17" t="str">
        <x:v>2018-12-30</x:v>
      </x:c>
      <x:c r="I62" s="12" t="str">
        <x:v>Avis de cotisation 2018</x:v>
      </x:c>
      <x:c r="J62" s="12" t="str">
        <x:v>piece_pdf-35  doublon : piece_avis_cotisation_pere_2018</x:v>
      </x:c>
    </x:row>
    <x:row r="63">
      <x:c r="A63" s="12" t="str">
        <x:v>P-36</x:v>
      </x:c>
      <x:c r="B63" s="12" t="n">
        <x:v>1</x:v>
      </x:c>
      <x:c r="C63" s="12" t="str">
        <x:v>PDFDocument:30</x:v>
      </x:c>
      <x:c r="D63" s="12" t="str">
        <x:v>PDFDocument</x:v>
      </x:c>
      <x:c r="E63" s="12" t="n">
        <x:v>30</x:v>
      </x:c>
      <x:c r="F63" s="12" t="str">
        <x:v>found</x:v>
      </x:c>
      <x:c r="G63" s="12" t="str">
        <x:v>available</x:v>
      </x:c>
      <x:c r="H63" s="17" t="str">
        <x:v>2019-12-01</x:v>
      </x:c>
      <x:c r="I63" s="12" t="str">
        <x:v>Avis de cotisation 2019</x:v>
      </x:c>
      <x:c r="J63" s="12" t="str">
        <x:v>piece_pdf-30  doublon : piece_avis_cotisation_pere_2019</x:v>
      </x:c>
    </x:row>
    <x:row r="64">
      <x:c r="A64" s="12" t="str">
        <x:v>P-37</x:v>
      </x:c>
      <x:c r="B64" s="12" t="n">
        <x:v>1</x:v>
      </x:c>
      <x:c r="C64" s="12" t="str">
        <x:v>Email:462</x:v>
      </x:c>
      <x:c r="D64" s="12" t="str">
        <x:v>Email</x:v>
      </x:c>
      <x:c r="E64" s="12" t="n">
        <x:v>462</x:v>
      </x:c>
      <x:c r="F64" s="12" t="str">
        <x:v>found</x:v>
      </x:c>
      <x:c r="G64" s="12" t="str">
        <x:v>available</x:v>
      </x:c>
      <x:c r="H64" s="17" t="n">
        <x:v>43878.74532407407</x:v>
      </x:c>
      <x:c r="I64" s="12" t="str">
        <x:v>Salut</x:v>
      </x:c>
      <x:c r="J64" s="12" t="str">
        <x:v>piece_thread-113_email-462</x:v>
      </x:c>
    </x:row>
    <x:row r="65">
      <x:c r="A65" s="12" t="str">
        <x:v>P-38</x:v>
      </x:c>
      <x:c r="B65" s="12" t="n">
        <x:v>1</x:v>
      </x:c>
      <x:c r="C65" s="12" t="str">
        <x:v>Email:330</x:v>
      </x:c>
      <x:c r="D65" s="12" t="str">
        <x:v>Email</x:v>
      </x:c>
      <x:c r="E65" s="12" t="n">
        <x:v>330</x:v>
      </x:c>
      <x:c r="F65" s="12" t="str">
        <x:v>found</x:v>
      </x:c>
      <x:c r="G65" s="12" t="str">
        <x:v>available</x:v>
      </x:c>
      <x:c r="H65" s="17" t="n">
        <x:v>43938.818078703705</x:v>
      </x:c>
      <x:c r="I65" s="12" t="str">
        <x:v>suite des choses</x:v>
      </x:c>
      <x:c r="J65" s="12" t="str">
        <x:v>piece_thread-4_email-330</x:v>
      </x:c>
    </x:row>
    <x:row r="66">
      <x:c r="A66" s="12" t="str">
        <x:v>P-39</x:v>
      </x:c>
      <x:c r="B66" s="12" t="n">
        <x:v>1</x:v>
      </x:c>
      <x:c r="C66" s="12" t="str">
        <x:v>Email:3</x:v>
      </x:c>
      <x:c r="D66" s="12" t="str">
        <x:v>Email</x:v>
      </x:c>
      <x:c r="E66" s="12" t="n">
        <x:v>3</x:v>
      </x:c>
      <x:c r="F66" s="12" t="str">
        <x:v>found</x:v>
      </x:c>
      <x:c r="G66" s="12" t="str">
        <x:v>available</x:v>
      </x:c>
      <x:c r="H66" s="17" t="n">
        <x:v>44004.75408564815</x:v>
      </x:c>
      <x:c r="I66" s="12" t="str">
        <x:v>emplois</x:v>
      </x:c>
      <x:c r="J66" s="12" t="str">
        <x:v>piece_thread-3_email-3</x:v>
      </x:c>
    </x:row>
    <x:row r="67">
      <x:c r="A67" s="12" t="str">
        <x:v>P-40</x:v>
      </x:c>
      <x:c r="B67" s="12" t="n">
        <x:v>1</x:v>
      </x:c>
      <x:c r="C67" s="12" t="str">
        <x:v>Document:2</x:v>
      </x:c>
      <x:c r="D67" s="12" t="str">
        <x:v>Document</x:v>
      </x:c>
      <x:c r="E67" s="12" t="n">
        <x:v>2</x:v>
      </x:c>
      <x:c r="F67" s="12" t="str">
        <x:v>found</x:v>
      </x:c>
      <x:c r="G67" s="12" t="str">
        <x:v>available</x:v>
      </x:c>
      <x:c r="H67" s="17" t="str">
        <x:v>2023-07-21</x:v>
      </x:c>
      <x:c r="I67" s="12" t="str">
        <x:v>DÉNONCIATION DE LA DÉFENDERESSE D'UN MOYEN DÉCLINATOIRE</x:v>
      </x:c>
      <x:c r="J67" s="12" t="str">
        <x:v>piece_denonciation_declinatoire_2023</x:v>
      </x:c>
    </x:row>
    <x:row r="68">
      <x:c r="A68" s="12" t="str">
        <x:v>P-41</x:v>
      </x:c>
      <x:c r="B68" s="12" t="n">
        <x:v>1</x:v>
      </x:c>
      <x:c r="C68" s="12" t="str">
        <x:v>Email:633</x:v>
      </x:c>
      <x:c r="D68" s="12" t="str">
        <x:v>Email</x:v>
      </x:c>
      <x:c r="E68" s="12" t="n">
        <x:v>633</x:v>
      </x:c>
      <x:c r="F68" s="12" t="str">
        <x:v>found</x:v>
      </x:c>
      <x:c r="G68" s="12" t="str">
        <x:v>available</x:v>
      </x:c>
      <x:c r="H68" s="17" t="n">
        <x:v>46205.59537037037</x:v>
      </x:c>
      <x:c r="I68" s="12" t="str">
        <x:v>Re: certificat</x:v>
      </x:c>
      <x:c r="J68" s="12" t="str">
        <x:v>piece_thread-158_email-633</x:v>
      </x:c>
    </x:row>
    <x:row r="69">
      <x:c r="A69" s="12" t="str">
        <x:v>P-42</x:v>
      </x:c>
      <x:c r="B69" s="12" t="n">
        <x:v>1</x:v>
      </x:c>
      <x:c r="C69" s="12" t="str">
        <x:v>Document:3</x:v>
      </x:c>
      <x:c r="D69" s="12" t="str">
        <x:v>Document</x:v>
      </x:c>
      <x:c r="E69" s="12" t="n">
        <x:v>3</x:v>
      </x:c>
      <x:c r="F69" s="12" t="str">
        <x:v>found</x:v>
      </x:c>
      <x:c r="G69" s="12" t="str">
        <x:v>available</x:v>
      </x:c>
      <x:c r="H69" s="17" t="str">
        <x:v>2019-10-21</x:v>
      </x:c>
      <x:c r="I69" s="12" t="str">
        <x:v>DÉCLARATION ASSERMENTÉE DE LA DEMANDERESSE</x:v>
      </x:c>
      <x:c r="J69" s="12" t="str">
        <x:v>piece_document-3</x:v>
      </x:c>
    </x:row>
    <x:row r="70">
      <x:c r="A70" s="12" t="str">
        <x:v>P-43</x:v>
      </x:c>
      <x:c r="B70" s="12" t="n">
        <x:v>1</x:v>
      </x:c>
      <x:c r="C70" s="12" t="str">
        <x:v>Email:118</x:v>
      </x:c>
      <x:c r="D70" s="12" t="str">
        <x:v>Email</x:v>
      </x:c>
      <x:c r="E70" s="12" t="n">
        <x:v>118</x:v>
      </x:c>
      <x:c r="F70" s="12" t="str">
        <x:v>found</x:v>
      </x:c>
      <x:c r="G70" s="12" t="str">
        <x:v>available</x:v>
      </x:c>
      <x:c r="H70" s="17" t="n">
        <x:v>40666.96403935185</x:v>
      </x:c>
      <x:c r="I70" s="12" t="str">
        <x:v>Re: RE: Today</x:v>
      </x:c>
      <x:c r="J70" s="12" t="str">
        <x:v>Emails id=69, 68, 64, 118, 61, 59, 58, 56, 55, 53, 51, 47, 45, 42, 40, 30, 28, 27, 21</x:v>
      </x:c>
    </x:row>
    <x:row r="71">
      <x:c r="A71" s="12" t="str">
        <x:v>P-43</x:v>
      </x:c>
      <x:c r="B71" s="12" t="n">
        <x:v>2</x:v>
      </x:c>
      <x:c r="C71" s="12" t="str">
        <x:v>Email:21</x:v>
      </x:c>
      <x:c r="D71" s="12" t="str">
        <x:v>Email</x:v>
      </x:c>
      <x:c r="E71" s="12" t="n">
        <x:v>21</x:v>
      </x:c>
      <x:c r="F71" s="12" t="str">
        <x:v>found</x:v>
      </x:c>
      <x:c r="G71" s="12" t="str">
        <x:v>available</x:v>
      </x:c>
      <x:c r="H71" s="17" t="n">
        <x:v>42219.48552083333</x:v>
      </x:c>
      <x:c r="I71" s="12" t="str">
        <x:v>[Sans sujet]</x:v>
      </x:c>
      <x:c r="J71" s="12" t="str">
        <x:v>Emails id=69, 68, 64, 118, 61, 59, 58, 56, 55, 53, 51, 47, 45, 42, 40, 30, 28, 27, 21</x:v>
      </x:c>
    </x:row>
    <x:row r="72">
      <x:c r="A72" s="12" t="str">
        <x:v>P-43</x:v>
      </x:c>
      <x:c r="B72" s="12" t="n">
        <x:v>3</x:v>
      </x:c>
      <x:c r="C72" s="12" t="str">
        <x:v>Email:27</x:v>
      </x:c>
      <x:c r="D72" s="12" t="str">
        <x:v>Email</x:v>
      </x:c>
      <x:c r="E72" s="12" t="n">
        <x:v>27</x:v>
      </x:c>
      <x:c r="F72" s="12" t="str">
        <x:v>found</x:v>
      </x:c>
      <x:c r="G72" s="12" t="str">
        <x:v>available</x:v>
      </x:c>
      <x:c r="H72" s="17" t="n">
        <x:v>41992.84278935185</x:v>
      </x:c>
      <x:c r="I72" s="12" t="str">
        <x:v>vendredi le 19 dec</x:v>
      </x:c>
      <x:c r="J72" s="12" t="str">
        <x:v>Emails id=69, 68, 64, 118, 61, 59, 58, 56, 55, 53, 51, 47, 45, 42, 40, 30, 28, 27, 21</x:v>
      </x:c>
    </x:row>
    <x:row r="73">
      <x:c r="A73" s="12" t="str">
        <x:v>P-43</x:v>
      </x:c>
      <x:c r="B73" s="12" t="n">
        <x:v>4</x:v>
      </x:c>
      <x:c r="C73" s="12" t="str">
        <x:v>Email:28</x:v>
      </x:c>
      <x:c r="D73" s="12" t="str">
        <x:v>Email</x:v>
      </x:c>
      <x:c r="E73" s="12" t="n">
        <x:v>28</x:v>
      </x:c>
      <x:c r="F73" s="12" t="str">
        <x:v>found</x:v>
      </x:c>
      <x:c r="G73" s="12" t="str">
        <x:v>available</x:v>
      </x:c>
      <x:c r="H73" s="17" t="n">
        <x:v>41989.99505787037</x:v>
      </x:c>
      <x:c r="I73" s="12" t="str">
        <x:v>[Sans sujet]</x:v>
      </x:c>
      <x:c r="J73" s="12" t="str">
        <x:v>Emails id=69, 68, 64, 118, 61, 59, 58, 56, 55, 53, 51, 47, 45, 42, 40, 30, 28, 27, 21</x:v>
      </x:c>
    </x:row>
    <x:row r="74">
      <x:c r="A74" s="12" t="str">
        <x:v>P-43</x:v>
      </x:c>
      <x:c r="B74" s="12" t="n">
        <x:v>5</x:v>
      </x:c>
      <x:c r="C74" s="12" t="str">
        <x:v>Email:30</x:v>
      </x:c>
      <x:c r="D74" s="12" t="str">
        <x:v>Email</x:v>
      </x:c>
      <x:c r="E74" s="12" t="n">
        <x:v>30</x:v>
      </x:c>
      <x:c r="F74" s="12" t="str">
        <x:v>found</x:v>
      </x:c>
      <x:c r="G74" s="12" t="str">
        <x:v>available</x:v>
      </x:c>
      <x:c r="H74" s="17" t="n">
        <x:v>41764.49607638889</x:v>
      </x:c>
      <x:c r="I74" s="12" t="str">
        <x:v>journée maladie</x:v>
      </x:c>
      <x:c r="J74" s="12" t="str">
        <x:v>Emails id=69, 68, 64, 118, 61, 59, 58, 56, 55, 53, 51, 47, 45, 42, 40, 30, 28, 27, 21</x:v>
      </x:c>
    </x:row>
    <x:row r="75">
      <x:c r="A75" s="12" t="str">
        <x:v>P-43</x:v>
      </x:c>
      <x:c r="B75" s="12" t="n">
        <x:v>6</x:v>
      </x:c>
      <x:c r="C75" s="12" t="str">
        <x:v>Email:40</x:v>
      </x:c>
      <x:c r="D75" s="12" t="str">
        <x:v>Email</x:v>
      </x:c>
      <x:c r="E75" s="12" t="n">
        <x:v>40</x:v>
      </x:c>
      <x:c r="F75" s="12" t="str">
        <x:v>found</x:v>
      </x:c>
      <x:c r="G75" s="12" t="str">
        <x:v>available</x:v>
      </x:c>
      <x:c r="H75" s="17" t="n">
        <x:v>41428.40122685185</x:v>
      </x:c>
      <x:c r="I75" s="12" t="str">
        <x:v>Congė</x:v>
      </x:c>
      <x:c r="J75" s="12" t="str">
        <x:v>Emails id=69, 68, 64, 118, 61, 59, 58, 56, 55, 53, 51, 47, 45, 42, 40, 30, 28, 27, 21</x:v>
      </x:c>
    </x:row>
    <x:row r="76">
      <x:c r="A76" s="12" t="str">
        <x:v>P-43</x:v>
      </x:c>
      <x:c r="B76" s="12" t="n">
        <x:v>7</x:v>
      </x:c>
      <x:c r="C76" s="12" t="str">
        <x:v>Email:42</x:v>
      </x:c>
      <x:c r="D76" s="12" t="str">
        <x:v>Email</x:v>
      </x:c>
      <x:c r="E76" s="12" t="n">
        <x:v>42</x:v>
      </x:c>
      <x:c r="F76" s="12" t="str">
        <x:v>found</x:v>
      </x:c>
      <x:c r="G76" s="12" t="str">
        <x:v>available</x:v>
      </x:c>
      <x:c r="H76" s="17" t="n">
        <x:v>41162.30799768519</x:v>
      </x:c>
      <x:c r="I76" s="12" t="str">
        <x:v>absence</x:v>
      </x:c>
      <x:c r="J76" s="12" t="str">
        <x:v>Emails id=69, 68, 64, 118, 61, 59, 58, 56, 55, 53, 51, 47, 45, 42, 40, 30, 28, 27, 21</x:v>
      </x:c>
    </x:row>
    <x:row r="77">
      <x:c r="A77" s="12" t="str">
        <x:v>P-43</x:v>
      </x:c>
      <x:c r="B77" s="12" t="n">
        <x:v>8</x:v>
      </x:c>
      <x:c r="C77" s="12" t="str">
        <x:v>Email:45</x:v>
      </x:c>
      <x:c r="D77" s="12" t="str">
        <x:v>Email</x:v>
      </x:c>
      <x:c r="E77" s="12" t="n">
        <x:v>45</x:v>
      </x:c>
      <x:c r="F77" s="12" t="str">
        <x:v>found</x:v>
      </x:c>
      <x:c r="G77" s="12" t="str">
        <x:v>available</x:v>
      </x:c>
      <x:c r="H77" s="17" t="n">
        <x:v>41094.49385416666</x:v>
      </x:c>
      <x:c r="I77" s="12" t="str">
        <x:v>Aujourd hui</x:v>
      </x:c>
      <x:c r="J77" s="12" t="str">
        <x:v>Emails id=69, 68, 64, 118, 61, 59, 58, 56, 55, 53, 51, 47, 45, 42, 40, 30, 28, 27, 21</x:v>
      </x:c>
    </x:row>
    <x:row r="78">
      <x:c r="A78" s="12" t="str">
        <x:v>P-43</x:v>
      </x:c>
      <x:c r="B78" s="12" t="n">
        <x:v>9</x:v>
      </x:c>
      <x:c r="C78" s="12" t="str">
        <x:v>Email:47</x:v>
      </x:c>
      <x:c r="D78" s="12" t="str">
        <x:v>Email</x:v>
      </x:c>
      <x:c r="E78" s="12" t="n">
        <x:v>47</x:v>
      </x:c>
      <x:c r="F78" s="12" t="str">
        <x:v>found</x:v>
      </x:c>
      <x:c r="G78" s="12" t="str">
        <x:v>available</x:v>
      </x:c>
      <x:c r="H78" s="17" t="n">
        <x:v>41051.55506944445</x:v>
      </x:c>
      <x:c r="I78" s="12" t="str">
        <x:v>Conge</x:v>
      </x:c>
      <x:c r="J78" s="12" t="str">
        <x:v>Emails id=69, 68, 64, 118, 61, 59, 58, 56, 55, 53, 51, 47, 45, 42, 40, 30, 28, 27, 21</x:v>
      </x:c>
    </x:row>
    <x:row r="79">
      <x:c r="A79" s="12" t="str">
        <x:v>P-43</x:v>
      </x:c>
      <x:c r="B79" s="12" t="n">
        <x:v>10</x:v>
      </x:c>
      <x:c r="C79" s="12" t="str">
        <x:v>Email:51</x:v>
      </x:c>
      <x:c r="D79" s="12" t="str">
        <x:v>Email</x:v>
      </x:c>
      <x:c r="E79" s="12" t="n">
        <x:v>51</x:v>
      </x:c>
      <x:c r="F79" s="12" t="str">
        <x:v>found</x:v>
      </x:c>
      <x:c r="G79" s="12" t="str">
        <x:v>available</x:v>
      </x:c>
      <x:c r="H79" s="17" t="n">
        <x:v>40893.48324074074</x:v>
      </x:c>
      <x:c r="I79" s="12" t="str">
        <x:v>Today</x:v>
      </x:c>
      <x:c r="J79" s="12" t="str">
        <x:v>Emails id=69, 68, 64, 118, 61, 59, 58, 56, 55, 53, 51, 47, 45, 42, 40, 30, 28, 27, 21</x:v>
      </x:c>
    </x:row>
    <x:row r="80">
      <x:c r="A80" s="12" t="str">
        <x:v>P-43</x:v>
      </x:c>
      <x:c r="B80" s="12" t="n">
        <x:v>11</x:v>
      </x:c>
      <x:c r="C80" s="12" t="str">
        <x:v>Email:53</x:v>
      </x:c>
      <x:c r="D80" s="12" t="str">
        <x:v>Email</x:v>
      </x:c>
      <x:c r="E80" s="12" t="n">
        <x:v>53</x:v>
      </x:c>
      <x:c r="F80" s="12" t="str">
        <x:v>found</x:v>
      </x:c>
      <x:c r="G80" s="12" t="str">
        <x:v>available</x:v>
      </x:c>
      <x:c r="H80" s="17" t="n">
        <x:v>40889.535104166665</x:v>
      </x:c>
      <x:c r="I80" s="12" t="str">
        <x:v>Staying home today</x:v>
      </x:c>
      <x:c r="J80" s="12" t="str">
        <x:v>Emails id=69, 68, 64, 118, 61, 59, 58, 56, 55, 53, 51, 47, 45, 42, 40, 30, 28, 27, 21</x:v>
      </x:c>
    </x:row>
    <x:row r="81">
      <x:c r="A81" s="12" t="str">
        <x:v>P-43</x:v>
      </x:c>
      <x:c r="B81" s="12" t="n">
        <x:v>12</x:v>
      </x:c>
      <x:c r="C81" s="12" t="str">
        <x:v>Email:55</x:v>
      </x:c>
      <x:c r="D81" s="12" t="str">
        <x:v>Email</x:v>
      </x:c>
      <x:c r="E81" s="12" t="n">
        <x:v>55</x:v>
      </x:c>
      <x:c r="F81" s="12" t="str">
        <x:v>found</x:v>
      </x:c>
      <x:c r="G81" s="12" t="str">
        <x:v>available</x:v>
      </x:c>
      <x:c r="H81" s="17" t="n">
        <x:v>40792.48875</x:v>
      </x:c>
      <x:c r="I81" s="12" t="str">
        <x:v>[Sans sujet]</x:v>
      </x:c>
      <x:c r="J81" s="12" t="str">
        <x:v>Emails id=69, 68, 64, 118, 61, 59, 58, 56, 55, 53, 51, 47, 45, 42, 40, 30, 28, 27, 21</x:v>
      </x:c>
    </x:row>
    <x:row r="82">
      <x:c r="A82" s="12" t="str">
        <x:v>P-43</x:v>
      </x:c>
      <x:c r="B82" s="12" t="n">
        <x:v>13</x:v>
      </x:c>
      <x:c r="C82" s="12" t="str">
        <x:v>Email:56</x:v>
      </x:c>
      <x:c r="D82" s="12" t="str">
        <x:v>Email</x:v>
      </x:c>
      <x:c r="E82" s="12" t="n">
        <x:v>56</x:v>
      </x:c>
      <x:c r="F82" s="12" t="str">
        <x:v>found</x:v>
      </x:c>
      <x:c r="G82" s="12" t="str">
        <x:v>available</x:v>
      </x:c>
      <x:c r="H82" s="17" t="n">
        <x:v>40784.454305555555</x:v>
      </x:c>
      <x:c r="I82" s="12" t="str">
        <x:v>Avant midi</x:v>
      </x:c>
      <x:c r="J82" s="12" t="str">
        <x:v>Emails id=69, 68, 64, 118, 61, 59, 58, 56, 55, 53, 51, 47, 45, 42, 40, 30, 28, 27, 21</x:v>
      </x:c>
    </x:row>
    <x:row r="83">
      <x:c r="A83" s="12" t="str">
        <x:v>P-43</x:v>
      </x:c>
      <x:c r="B83" s="12" t="n">
        <x:v>14</x:v>
      </x:c>
      <x:c r="C83" s="12" t="str">
        <x:v>Email:58</x:v>
      </x:c>
      <x:c r="D83" s="12" t="str">
        <x:v>Email</x:v>
      </x:c>
      <x:c r="E83" s="12" t="n">
        <x:v>58</x:v>
      </x:c>
      <x:c r="F83" s="12" t="str">
        <x:v>found</x:v>
      </x:c>
      <x:c r="G83" s="12" t="str">
        <x:v>available</x:v>
      </x:c>
      <x:c r="H83" s="17" t="n">
        <x:v>40730.5184375</x:v>
      </x:c>
      <x:c r="I83" s="12" t="str">
        <x:v>Re: Today</x:v>
      </x:c>
      <x:c r="J83" s="12" t="str">
        <x:v>Emails id=69, 68, 64, 118, 61, 59, 58, 56, 55, 53, 51, 47, 45, 42, 40, 30, 28, 27, 21</x:v>
      </x:c>
    </x:row>
    <x:row r="84">
      <x:c r="A84" s="12" t="str">
        <x:v>P-43</x:v>
      </x:c>
      <x:c r="B84" s="12" t="n">
        <x:v>15</x:v>
      </x:c>
      <x:c r="C84" s="12" t="str">
        <x:v>Email:59</x:v>
      </x:c>
      <x:c r="D84" s="12" t="str">
        <x:v>Email</x:v>
      </x:c>
      <x:c r="E84" s="12" t="n">
        <x:v>59</x:v>
      </x:c>
      <x:c r="F84" s="12" t="str">
        <x:v>found</x:v>
      </x:c>
      <x:c r="G84" s="12" t="str">
        <x:v>available</x:v>
      </x:c>
      <x:c r="H84" s="17" t="n">
        <x:v>40730.465775462966</x:v>
      </x:c>
      <x:c r="I84" s="12" t="str">
        <x:v>Today</x:v>
      </x:c>
      <x:c r="J84" s="12" t="str">
        <x:v>Emails id=69, 68, 64, 118, 61, 59, 58, 56, 55, 53, 51, 47, 45, 42, 40, 30, 28, 27, 21</x:v>
      </x:c>
    </x:row>
    <x:row r="85">
      <x:c r="A85" s="12" t="str">
        <x:v>P-43</x:v>
      </x:c>
      <x:c r="B85" s="12" t="n">
        <x:v>16</x:v>
      </x:c>
      <x:c r="C85" s="12" t="str">
        <x:v>Email:61</x:v>
      </x:c>
      <x:c r="D85" s="12" t="str">
        <x:v>Email</x:v>
      </x:c>
      <x:c r="E85" s="12" t="n">
        <x:v>61</x:v>
      </x:c>
      <x:c r="F85" s="12" t="str">
        <x:v>found</x:v>
      </x:c>
      <x:c r="G85" s="12" t="str">
        <x:v>available</x:v>
      </x:c>
      <x:c r="H85" s="17" t="n">
        <x:v>40688.86509259259</x:v>
      </x:c>
      <x:c r="I85" s="12" t="str">
        <x:v>Reunion demain</x:v>
      </x:c>
      <x:c r="J85" s="12" t="str">
        <x:v>Emails id=69, 68, 64, 118, 61, 59, 58, 56, 55, 53, 51, 47, 45, 42, 40, 30, 28, 27, 21</x:v>
      </x:c>
    </x:row>
    <x:row r="86">
      <x:c r="A86" s="12" t="str">
        <x:v>P-43</x:v>
      </x:c>
      <x:c r="B86" s="12" t="n">
        <x:v>17</x:v>
      </x:c>
      <x:c r="C86" s="12" t="str">
        <x:v>Email:64</x:v>
      </x:c>
      <x:c r="D86" s="12" t="str">
        <x:v>Email</x:v>
      </x:c>
      <x:c r="E86" s="12" t="n">
        <x:v>64</x:v>
      </x:c>
      <x:c r="F86" s="12" t="str">
        <x:v>found</x:v>
      </x:c>
      <x:c r="G86" s="12" t="str">
        <x:v>available</x:v>
      </x:c>
      <x:c r="H86" s="17" t="n">
        <x:v>40665.4549537037</x:v>
      </x:c>
      <x:c r="I86" s="12" t="str">
        <x:v>Today</x:v>
      </x:c>
      <x:c r="J86" s="12" t="str">
        <x:v>Emails id=69, 68, 64, 118, 61, 59, 58, 56, 55, 53, 51, 47, 45, 42, 40, 30, 28, 27, 21</x:v>
      </x:c>
    </x:row>
    <x:row r="87">
      <x:c r="A87" s="12" t="str">
        <x:v>P-43</x:v>
      </x:c>
      <x:c r="B87" s="12" t="n">
        <x:v>18</x:v>
      </x:c>
      <x:c r="C87" s="12" t="str">
        <x:v>Email:68</x:v>
      </x:c>
      <x:c r="D87" s="12" t="str">
        <x:v>Email</x:v>
      </x:c>
      <x:c r="E87" s="12" t="n">
        <x:v>68</x:v>
      </x:c>
      <x:c r="F87" s="12" t="str">
        <x:v>found</x:v>
      </x:c>
      <x:c r="G87" s="12" t="str">
        <x:v>available</x:v>
      </x:c>
      <x:c r="H87" s="17" t="n">
        <x:v>40609.6634375</x:v>
      </x:c>
      <x:c r="I87" s="12" t="str">
        <x:v>Re: RE: Congé</x:v>
      </x:c>
      <x:c r="J87" s="12" t="str">
        <x:v>Emails id=69, 68, 64, 118, 61, 59, 58, 56, 55, 53, 51, 47, 45, 42, 40, 30, 28, 27, 21</x:v>
      </x:c>
    </x:row>
    <x:row r="88">
      <x:c r="A88" s="14" t="str">
        <x:v>P-43</x:v>
      </x:c>
      <x:c r="B88" s="14" t="n">
        <x:v>19</x:v>
      </x:c>
      <x:c r="C88" s="14" t="str">
        <x:v>Email:69</x:v>
      </x:c>
      <x:c r="D88" s="14" t="str">
        <x:v>Email</x:v>
      </x:c>
      <x:c r="E88" s="14" t="n">
        <x:v>69</x:v>
      </x:c>
      <x:c r="F88" s="14" t="str">
        <x:v>found</x:v>
      </x:c>
      <x:c r="G88" s="14" t="str">
        <x:v>available</x:v>
      </x:c>
      <x:c r="H88" s="18" t="n">
        <x:v>40609.50792824074</x:v>
      </x:c>
      <x:c r="I88" s="14" t="str">
        <x:v>Congé</x:v>
      </x:c>
      <x:c r="J88" s="14" t="str">
        <x:v>Emails id=69, 68, 64, 118, 61, 59, 58, 56, 55, 53, 51, 47, 45, 42, 40, 30, 28, 27, 21</x:v>
      </x:c>
    </x:row>
  </x:sheetData>
  <x:mergeCells>
    <x:mergeCell ref="A1:J1"/>
  </x:mergeCells>
  <x:pageMargins left="0.7" right="0.7" top="0.75" bottom="0.75" header="0.3" footer="0.3"/>
  <x:tableParts count="1">
    <x:tablePart xmlns:r="http://schemas.openxmlformats.org/officeDocument/2006/relationships" r:id="Rd9fa15b092434a2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12" hidden="0" customWidth="1"/>
    <x:col min="4" max="4" width="38" hidden="0" customWidth="1"/>
  </x:cols>
  <x:sheetData>
    <x:row r="1" ht="28" customHeight="1">
      <x:c r="A1" s="2" t="str">
        <x:v>Conflits</x:v>
      </x:c>
      <x:c r="B1" s="2" t="str">
        <x:v>Conflits</x:v>
      </x:c>
      <x:c r="C1" s="2" t="str">
        <x:v>Conflits</x:v>
      </x:c>
      <x:c r="D1" s="2" t="str">
        <x:v>Conflits</x:v>
      </x:c>
    </x:row>
    <x:row r="3" ht="30" customHeight="1">
      <x:c r="A3" s="4" t="str">
        <x:v>Clé canonique</x:v>
      </x:c>
      <x:c r="B3" s="4" t="str">
        <x:v>Cotes proposées</x:v>
      </x:c>
      <x:c r="C3" s="4" t="str">
        <x:v>Nombre</x:v>
      </x:c>
      <x:c r="D3" s="4" t="str">
        <x:v>État</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6" hidden="0" customWidth="1"/>
    <x:col min="3" max="3" width="12" hidden="0" customWidth="1"/>
    <x:col min="4" max="4" width="75" hidden="0" customWidth="1"/>
    <x:col min="5" max="5" width="70" hidden="0" customWidth="1"/>
  </x:cols>
  <x:sheetData>
    <x:row r="1" ht="28" customHeight="1">
      <x:c r="A1" s="2" t="str">
        <x:v>Alias historiques</x:v>
      </x:c>
      <x:c r="B1" s="2" t="str">
        <x:v>Alias historiques</x:v>
      </x:c>
      <x:c r="C1" s="2" t="str">
        <x:v>Alias historiques</x:v>
      </x:c>
      <x:c r="D1" s="2" t="str">
        <x:v>Alias historiques</x:v>
      </x:c>
      <x:c r="E1" s="2" t="str">
        <x:v>Alias historiques</x:v>
      </x:c>
    </x:row>
    <x:row r="3" ht="30" customHeight="1">
      <x:c r="A3" s="4" t="str">
        <x:v>Alias historique</x:v>
      </x:c>
      <x:c r="B3" s="4" t="str">
        <x:v>État</x:v>
      </x:c>
      <x:c r="C3" s="4" t="str">
        <x:v>Candidats</x:v>
      </x:c>
      <x:c r="D3" s="4" t="str">
        <x:v>Candidats canoniques</x:v>
      </x:c>
      <x:c r="E3" s="4" t="str">
        <x:v>Sources</x:v>
      </x:c>
    </x:row>
    <x:row r="4">
      <x:c r="A4" s="10" t="str">
        <x:v>P-1</x:v>
      </x:c>
      <x:c r="B4" s="10" t="str">
        <x:v>resolved</x:v>
      </x:c>
      <x:c r="C4" s="10" t="n">
        <x:v>1</x:v>
      </x:c>
      <x:c r="D4" s="10" t="str">
        <x:v>PDFDocument:1</x:v>
      </x:c>
      <x:c r="E4" s="10" t="str">
        <x:v>2015_par_18.md:line:20 | 2015_par_20.md:line:20 | 2019_par_3.md:line:19 | 2023_par_7_8.md:line:36 | consolidation_pieces_par14-17_2015.xlsx:sheet:Inventaire;row:14 | inventaire_union_paragraphe7_revise_axes.xlsx:sheet:Union probatoire;row:7 | inventaire_union_paragraphe_9.xlsx:sheet:Inventaire principal;row:6 | rapport_union_pieces_par14-17_2015.md:line:22 | union_exhaustive_pieces_paragraphes_4-5-6.xlsx:sheet:Union principale;row:14 | union_exhaustive_pieces_paragraphes_4-5-6.xlsx:sheet:Union principale;row:201 | union_pieces_par14-17_2015.csv:row:11</x:v>
      </x:c>
    </x:row>
    <x:row r="5">
      <x:c r="A5" s="12" t="str">
        <x:v>P-2</x:v>
      </x:c>
      <x:c r="B5" s="12" t="str">
        <x:v>ambiguous</x:v>
      </x:c>
      <x:c r="C5" s="12" t="n">
        <x:v>2</x:v>
      </x:c>
      <x:c r="D5" s="12" t="str">
        <x:v>Document:1 | Photo:4526</x:v>
      </x:c>
      <x:c r="E5" s="12" t="str">
        <x:v>2015_par_18.md:line:24 | 2019_par_3.md:line:24 | 2019_par_3.md:line:35 | 2023_par_7_8.md:line:27</x:v>
      </x:c>
    </x:row>
    <x:row r="6">
      <x:c r="A6" s="12" t="str">
        <x:v>P-3</x:v>
      </x:c>
      <x:c r="B6" s="12" t="str">
        <x:v>resolved</x:v>
      </x:c>
      <x:c r="C6" s="12" t="n">
        <x:v>1</x:v>
      </x:c>
      <x:c r="D6" s="12" t="str">
        <x:v>PDFDocument:3</x:v>
      </x:c>
      <x:c r="E6" s="12" t="str">
        <x:v>2015_par_18.md:line:22 | 2015_par_18.md:line:26 | 2015_par_20.md:line:25 | 2019_par_3.md:line:25 | consolidation_pieces_par14-17_2015.xlsx:sheet:Inventaire;row:7 | rapport_union_pieces_par14-17_2015.md:line:15 | union_pieces_par14-17_2015.csv:row:4</x:v>
      </x:c>
    </x:row>
    <x:row r="7">
      <x:c r="A7" s="12" t="str">
        <x:v>P-4</x:v>
      </x:c>
      <x:c r="B7" s="12" t="str">
        <x:v>ambiguous</x:v>
      </x:c>
      <x:c r="C7" s="12" t="n">
        <x:v>2</x:v>
      </x:c>
      <x:c r="D7" s="12" t="str">
        <x:v>Document:1 | Photo:4551</x:v>
      </x:c>
      <x:c r="E7" s="12" t="str">
        <x:v>2015_par_28_29.md:line:26 | 2015_par_28_29.md:line:28 | 2019_par_3.md:line:35 | 2019_par_3.md:line:36</x:v>
      </x:c>
    </x:row>
    <x:row r="8">
      <x:c r="A8" s="12" t="str">
        <x:v>P-5</x:v>
      </x:c>
      <x:c r="B8" s="12" t="str">
        <x:v>ambiguous</x:v>
      </x:c>
      <x:c r="C8" s="12" t="n">
        <x:v>3</x:v>
      </x:c>
      <x:c r="D8" s="12" t="str">
        <x:v>Document:1 | PDFDocument:5 | PhotoDocument:13</x:v>
      </x:c>
      <x:c r="E8" s="12" t="str">
        <x:v>2019_par_3.md:line:31 | 2019_par_3.md:line:32 | 2019_par_3.md:line:35</x:v>
      </x:c>
    </x:row>
    <x:row r="9">
      <x:c r="A9" s="12" t="str">
        <x:v>P-6</x:v>
      </x:c>
      <x:c r="B9" s="12" t="str">
        <x:v>ambiguous</x:v>
      </x:c>
      <x:c r="C9" s="12" t="n">
        <x:v>2</x:v>
      </x:c>
      <x:c r="D9" s="12" t="str">
        <x:v>Document:1 | PDFDocument:6</x:v>
      </x:c>
      <x:c r="E9" s="12" t="str">
        <x:v>2015_par_28_29.md:line:27 | 2019_par_3.md:line:33 | 2019_par_7.md:line:25 | inventaire_union_paragraphe7_revise_axes.xlsx:sheet:Union probatoire;row:5</x:v>
      </x:c>
    </x:row>
    <x:row r="10">
      <x:c r="A10" s="12" t="str">
        <x:v>P-7</x:v>
      </x:c>
      <x:c r="B10" s="12" t="str">
        <x:v>resolved</x:v>
      </x:c>
      <x:c r="C10" s="12" t="n">
        <x:v>1</x:v>
      </x:c>
      <x:c r="D10" s="12" t="str">
        <x:v>PDFDocument:7</x:v>
      </x:c>
      <x:c r="E10" s="12" t="str">
        <x:v>2019_par_3.md:line:34</x:v>
      </x:c>
    </x:row>
    <x:row r="11">
      <x:c r="A11" s="12" t="str">
        <x:v>P-8</x:v>
      </x:c>
      <x:c r="B11" s="12" t="str">
        <x:v>ambiguous</x:v>
      </x:c>
      <x:c r="C11" s="12" t="n">
        <x:v>2</x:v>
      </x:c>
      <x:c r="D11" s="12" t="str">
        <x:v>PDFDocument:63 | PDFDocument:64</x:v>
      </x:c>
      <x:c r="E11" s="12" t="str">
        <x:v>2019_par_7.md:line:26 | 2019_par_7.md:line:27</x:v>
      </x:c>
    </x:row>
    <x:row r="12">
      <x:c r="A12" s="12" t="str">
        <x:v>P-22</x:v>
      </x:c>
      <x:c r="B12" s="12" t="str">
        <x:v>unresolved</x:v>
      </x:c>
      <x:c r="C12" s="12" t="n">
        <x:v>0</x:v>
      </x:c>
      <x:c r="D12" s="12" t="str"/>
      <x:c r="E12" s="12" t="str">
        <x:v>inventaire_union_paragraphe7_revise_axes.xlsx:sheet:Union probatoire;row:107</x:v>
      </x:c>
    </x:row>
    <x:row r="13">
      <x:c r="A13" s="12" t="str">
        <x:v>P-35</x:v>
      </x:c>
      <x:c r="B13" s="12" t="str">
        <x:v>resolved</x:v>
      </x:c>
      <x:c r="C13" s="12" t="n">
        <x:v>1</x:v>
      </x:c>
      <x:c r="D13" s="12" t="str">
        <x:v>PDFDocument:35</x:v>
      </x:c>
      <x:c r="E13" s="12" t="str">
        <x:v>inventaire_union_paragraphe7_revise_axes.xlsx:sheet:Union probatoire;row:6 | inventaire_union_paragraphe7_revise_axes.xlsx:sheet:Union probatoire;row:86</x:v>
      </x:c>
    </x:row>
    <x:row r="14">
      <x:c r="A14" s="12" t="str">
        <x:v>P-38</x:v>
      </x:c>
      <x:c r="B14" s="12" t="str">
        <x:v>resolved</x:v>
      </x:c>
      <x:c r="C14" s="12" t="n">
        <x:v>1</x:v>
      </x:c>
      <x:c r="D14" s="12" t="str">
        <x:v>Event:46</x:v>
      </x:c>
      <x:c r="E14" s="12" t="str">
        <x:v>inventaire_union_paragraphe7_revise_axes.xlsx:sheet:Union probatoire;row:108 | inventaire_union_paragraphe7_revise_axes.xlsx:sheet:Union probatoire;row:62</x:v>
      </x:c>
    </x:row>
    <x:row r="15">
      <x:c r="A15" s="12" t="str">
        <x:v>P-42</x:v>
      </x:c>
      <x:c r="B15" s="12" t="str">
        <x:v>resolved</x:v>
      </x:c>
      <x:c r="C15" s="12" t="n">
        <x:v>1</x:v>
      </x:c>
      <x:c r="D15" s="12" t="str">
        <x:v>Event:52</x:v>
      </x:c>
      <x:c r="E15" s="12" t="str">
        <x:v>inventaire_union_paragraphe7_revise_axes.xlsx:sheet:Union probatoire;row:109 | inventaire_union_paragraphe7_revise_axes.xlsx:sheet:Union probatoire;row:63</x:v>
      </x:c>
    </x:row>
    <x:row r="16">
      <x:c r="A16" s="12" t="str">
        <x:v>P-43</x:v>
      </x:c>
      <x:c r="B16" s="12" t="str">
        <x:v>ambiguous</x:v>
      </x:c>
      <x:c r="C16" s="12" t="n">
        <x:v>14</x:v>
      </x:c>
      <x:c r="D16" s="12" t="str">
        <x:v>PDFDocument:45 | PDFDocument:46 | PDFDocument:47 | PDFDocument:48 | PDFDocument:49 | PDFDocument:50 | PDFDocument:51 | PDFDocument:52 | PDFDocument:53 | PDFDocument:54 | PDFDocument:55 | PDFDocument:56 | PDFDocument:57 | PDFDocument:58</x:v>
      </x:c>
      <x:c r="E16" s="12" t="str">
        <x:v>inventaire_union_paragraphe7_revise_axes.xlsx:sheet:Union probatoire;row:100 | inventaire_union_paragraphe7_revise_axes.xlsx:sheet:Union probatoire;row:145 | inventaire_union_paragraphe7_revise_axes.xlsx:sheet:Union probatoire;row:87 | inventaire_union_paragraphe7_revise_axes.xlsx:sheet:Union probatoire;row:88 | inventaire_union_paragraphe7_revise_axes.xlsx:sheet:Union probatoire;row:89 | inventaire_union_paragraphe7_revise_axes.xlsx:sheet:Union probatoire;row:90 | inventaire_union_paragraphe7_revise_axes.xlsx:sheet:Union probatoire;row:91 | inventaire_union_paragraphe7_revise_axes.xlsx:sheet:Union probatoire;row:92 | inventaire_union_paragraphe7_revise_axes.xlsx:sheet:Union probatoire;row:93 | inventaire_union_paragraphe7_revise_axes.xlsx:sheet:Union probatoire;row:94 | inventaire_union_paragraphe7_revise_axes.xlsx:sheet:Union probatoire;row:95 | inventaire_union_paragraphe7_revise_axes.xlsx:sheet:Union probatoire;row:96 | inventaire_union_paragraphe7_revise_axes.xlsx:sheet:Union probatoire;row:97 | inventaire_union_paragraphe7_revise_axes.xlsx:sheet:Union probatoire;row:98 | inventaire_union_paragraphe7_revise_axes.xlsx:sheet:Union probatoire;row:99</x:v>
      </x:c>
    </x:row>
    <x:row r="17">
      <x:c r="A17" s="12" t="str">
        <x:v>P-46</x:v>
      </x:c>
      <x:c r="B17" s="12" t="str">
        <x:v>ambiguous</x:v>
      </x:c>
      <x:c r="C17" s="12" t="n">
        <x:v>2</x:v>
      </x:c>
      <x:c r="D17" s="12" t="str">
        <x:v>Email:68 | Email:69</x:v>
      </x:c>
      <x:c r="E17" s="12" t="str">
        <x:v>inventaire_union_paragraphe7_revise_axes.xlsx:sheet:Union probatoire;row:110 | inventaire_union_paragraphe7_revise_axes.xlsx:sheet:Union probatoire;row:34 | inventaire_union_paragraphe7_revise_axes.xlsx:sheet:Union probatoire;row:35</x:v>
      </x:c>
    </x:row>
    <x:row r="18">
      <x:c r="A18" s="12" t="str">
        <x:v>P-64</x:v>
      </x:c>
      <x:c r="B18" s="12" t="str">
        <x:v>ambiguous</x:v>
      </x:c>
      <x:c r="C18" s="12" t="n">
        <x:v>3</x:v>
      </x:c>
      <x:c r="D18" s="12" t="str">
        <x:v>Email:61 | Email:64 | Event:62</x:v>
      </x:c>
      <x:c r="E18" s="12" t="str">
        <x:v>inventaire_union_paragraphe7_revise_axes.xlsx:sheet:Union probatoire;row:111 | inventaire_union_paragraphe7_revise_axes.xlsx:sheet:Union probatoire;row:30 | inventaire_union_paragraphe7_revise_axes.xlsx:sheet:Union probatoire;row:31 | inventaire_union_paragraphe7_revise_axes.xlsx:sheet:Union probatoire;row:64</x:v>
      </x:c>
    </x:row>
    <x:row r="19">
      <x:c r="A19" s="12" t="str">
        <x:v>P-65</x:v>
      </x:c>
      <x:c r="B19" s="12" t="str">
        <x:v>ambiguous</x:v>
      </x:c>
      <x:c r="C19" s="12" t="n">
        <x:v>3</x:v>
      </x:c>
      <x:c r="D19" s="12" t="str">
        <x:v>Email:61 | Email:64 | Event:62</x:v>
      </x:c>
      <x:c r="E19" s="12" t="str">
        <x:v>inventaire_union_paragraphe7_revise_axes.xlsx:sheet:Union probatoire;row:112 | inventaire_union_paragraphe7_revise_axes.xlsx:sheet:Union probatoire;row:30 | inventaire_union_paragraphe7_revise_axes.xlsx:sheet:Union probatoire;row:31 | inventaire_union_paragraphe7_revise_axes.xlsx:sheet:Union probatoire;row:64</x:v>
      </x:c>
    </x:row>
    <x:row r="20">
      <x:c r="A20" s="12" t="str">
        <x:v>P-93</x:v>
      </x:c>
      <x:c r="B20" s="12" t="str">
        <x:v>resolved</x:v>
      </x:c>
      <x:c r="C20" s="12" t="n">
        <x:v>1</x:v>
      </x:c>
      <x:c r="D20" s="12" t="str">
        <x:v>Email:59</x:v>
      </x:c>
      <x:c r="E20" s="12" t="str">
        <x:v>consolidation_pieces_par14-17_2015.xlsx:sheet:Inventaire;row:26 | inventaire_union_paragraphe7_revise_axes.xlsx:sheet:Union probatoire;row:113 | inventaire_union_paragraphe7_revise_axes.xlsx:sheet:Union probatoire;row:28 | rapport_union_pieces_par14-17_2015.md:line:34 | union_pieces_par14-17_2015.csv:row:23</x:v>
      </x:c>
    </x:row>
    <x:row r="21">
      <x:c r="A21" s="12" t="str">
        <x:v>P-104</x:v>
      </x:c>
      <x:c r="B21" s="12" t="str">
        <x:v>unresolved</x:v>
      </x:c>
      <x:c r="C21" s="12" t="n">
        <x:v>0</x:v>
      </x:c>
      <x:c r="D21" s="12" t="str"/>
      <x:c r="E21" s="12" t="str">
        <x:v>inventaire_union_paragraphe7_revise_axes.xlsx:sheet:Union probatoire;row:114</x:v>
      </x:c>
    </x:row>
    <x:row r="22">
      <x:c r="A22" s="12" t="str">
        <x:v>P-105</x:v>
      </x:c>
      <x:c r="B22" s="12" t="str">
        <x:v>unresolved</x:v>
      </x:c>
      <x:c r="C22" s="12" t="n">
        <x:v>0</x:v>
      </x:c>
      <x:c r="D22" s="12" t="str"/>
      <x:c r="E22" s="12" t="str">
        <x:v>inventaire_union_paragraphe7_revise_axes.xlsx:sheet:Union probatoire;row:115</x:v>
      </x:c>
    </x:row>
    <x:row r="23">
      <x:c r="A23" s="12" t="str">
        <x:v>P-106</x:v>
      </x:c>
      <x:c r="B23" s="12" t="str">
        <x:v>unresolved</x:v>
      </x:c>
      <x:c r="C23" s="12" t="n">
        <x:v>0</x:v>
      </x:c>
      <x:c r="D23" s="12" t="str"/>
      <x:c r="E23" s="12" t="str">
        <x:v>inventaire_union_paragraphe7_revise_axes.xlsx:sheet:Union probatoire;row:116</x:v>
      </x:c>
    </x:row>
    <x:row r="24">
      <x:c r="A24" s="12" t="str">
        <x:v>P-107</x:v>
      </x:c>
      <x:c r="B24" s="12" t="str">
        <x:v>unresolved</x:v>
      </x:c>
      <x:c r="C24" s="12" t="n">
        <x:v>0</x:v>
      </x:c>
      <x:c r="D24" s="12" t="str"/>
      <x:c r="E24" s="12" t="str">
        <x:v>inventaire_union_paragraphe7_revise_axes.xlsx:sheet:Union probatoire;row:117</x:v>
      </x:c>
    </x:row>
    <x:row r="25">
      <x:c r="A25" s="12" t="str">
        <x:v>P-108</x:v>
      </x:c>
      <x:c r="B25" s="12" t="str">
        <x:v>unresolved</x:v>
      </x:c>
      <x:c r="C25" s="12" t="n">
        <x:v>0</x:v>
      </x:c>
      <x:c r="D25" s="12" t="str"/>
      <x:c r="E25" s="12" t="str">
        <x:v>inventaire_union_paragraphe7_revise_axes.xlsx:sheet:Union probatoire;row:118</x:v>
      </x:c>
    </x:row>
    <x:row r="26">
      <x:c r="A26" s="12" t="str">
        <x:v>P-109</x:v>
      </x:c>
      <x:c r="B26" s="12" t="str">
        <x:v>unresolved</x:v>
      </x:c>
      <x:c r="C26" s="12" t="n">
        <x:v>0</x:v>
      </x:c>
      <x:c r="D26" s="12" t="str"/>
      <x:c r="E26" s="12" t="str">
        <x:v>inventaire_union_paragraphe7_revise_axes.xlsx:sheet:Union probatoire;row:119</x:v>
      </x:c>
    </x:row>
    <x:row r="27">
      <x:c r="A27" s="12" t="str">
        <x:v>P-110</x:v>
      </x:c>
      <x:c r="B27" s="12" t="str">
        <x:v>unresolved</x:v>
      </x:c>
      <x:c r="C27" s="12" t="n">
        <x:v>0</x:v>
      </x:c>
      <x:c r="D27" s="12" t="str"/>
      <x:c r="E27" s="12" t="str">
        <x:v>inventaire_union_paragraphe7_revise_axes.xlsx:sheet:Union probatoire;row:120</x:v>
      </x:c>
    </x:row>
    <x:row r="28">
      <x:c r="A28" s="12" t="str">
        <x:v>P-111</x:v>
      </x:c>
      <x:c r="B28" s="12" t="str">
        <x:v>unresolved</x:v>
      </x:c>
      <x:c r="C28" s="12" t="n">
        <x:v>0</x:v>
      </x:c>
      <x:c r="D28" s="12" t="str"/>
      <x:c r="E28" s="12" t="str">
        <x:v>inventaire_union_paragraphe7_revise_axes.xlsx:sheet:Union probatoire;row:121</x:v>
      </x:c>
    </x:row>
    <x:row r="29">
      <x:c r="A29" s="12" t="str">
        <x:v>P-112</x:v>
      </x:c>
      <x:c r="B29" s="12" t="str">
        <x:v>unresolved</x:v>
      </x:c>
      <x:c r="C29" s="12" t="n">
        <x:v>0</x:v>
      </x:c>
      <x:c r="D29" s="12" t="str"/>
      <x:c r="E29" s="12" t="str">
        <x:v>inventaire_union_paragraphe7_revise_axes.xlsx:sheet:Union probatoire;row:122</x:v>
      </x:c>
    </x:row>
    <x:row r="30">
      <x:c r="A30" s="12" t="str">
        <x:v>P-113</x:v>
      </x:c>
      <x:c r="B30" s="12" t="str">
        <x:v>unresolved</x:v>
      </x:c>
      <x:c r="C30" s="12" t="n">
        <x:v>0</x:v>
      </x:c>
      <x:c r="D30" s="12" t="str"/>
      <x:c r="E30" s="12" t="str">
        <x:v>inventaire_union_paragraphe7_revise_axes.xlsx:sheet:Union probatoire;row:123</x:v>
      </x:c>
    </x:row>
    <x:row r="31">
      <x:c r="A31" s="12" t="str">
        <x:v>P-116</x:v>
      </x:c>
      <x:c r="B31" s="12" t="str">
        <x:v>ambiguous</x:v>
      </x:c>
      <x:c r="C31" s="12" t="n">
        <x:v>2</x:v>
      </x:c>
      <x:c r="D31" s="12" t="str">
        <x:v>Email:56 | Event:106</x:v>
      </x:c>
      <x:c r="E31" s="12" t="str">
        <x:v>inventaire_union_paragraphe7_revise_axes.xlsx:sheet:Union probatoire;row:124 | inventaire_union_paragraphe7_revise_axes.xlsx:sheet:Union probatoire;row:26 | inventaire_union_paragraphe7_revise_axes.xlsx:sheet:Union probatoire;row:67</x:v>
      </x:c>
    </x:row>
    <x:row r="32">
      <x:c r="A32" s="12" t="str">
        <x:v>P-117</x:v>
      </x:c>
      <x:c r="B32" s="12" t="str">
        <x:v>ambiguous</x:v>
      </x:c>
      <x:c r="C32" s="12" t="n">
        <x:v>2</x:v>
      </x:c>
      <x:c r="D32" s="12" t="str">
        <x:v>Email:56 | Event:106</x:v>
      </x:c>
      <x:c r="E32" s="12" t="str">
        <x:v>inventaire_union_paragraphe7_revise_axes.xlsx:sheet:Union probatoire;row:125 | inventaire_union_paragraphe7_revise_axes.xlsx:sheet:Union probatoire;row:26 | inventaire_union_paragraphe7_revise_axes.xlsx:sheet:Union probatoire;row:67</x:v>
      </x:c>
    </x:row>
    <x:row r="33">
      <x:c r="A33" s="12" t="str">
        <x:v>P-120</x:v>
      </x:c>
      <x:c r="B33" s="12" t="str">
        <x:v>resolved</x:v>
      </x:c>
      <x:c r="C33" s="12" t="n">
        <x:v>1</x:v>
      </x:c>
      <x:c r="D33" s="12" t="str">
        <x:v>Email:55</x:v>
      </x:c>
      <x:c r="E33" s="12" t="str">
        <x:v>inventaire_union_paragraphe7_revise_axes.xlsx:sheet:Union probatoire;row:126 | inventaire_union_paragraphe7_revise_axes.xlsx:sheet:Union probatoire;row:25</x:v>
      </x:c>
    </x:row>
    <x:row r="34">
      <x:c r="A34" s="12" t="str">
        <x:v>P-124</x:v>
      </x:c>
      <x:c r="B34" s="12" t="str">
        <x:v>resolved</x:v>
      </x:c>
      <x:c r="C34" s="12" t="n">
        <x:v>1</x:v>
      </x:c>
      <x:c r="D34" s="12" t="str">
        <x:v>Email:382</x:v>
      </x:c>
      <x:c r="E34" s="12" t="str">
        <x:v>inventaire_union_paragraphe7_revise_axes.xlsx:sheet:Union probatoire;row:127 | inventaire_union_paragraphe7_revise_axes.xlsx:sheet:Union probatoire;row:57</x:v>
      </x:c>
    </x:row>
    <x:row r="35">
      <x:c r="A35" s="12" t="str">
        <x:v>P-125</x:v>
      </x:c>
      <x:c r="B35" s="12" t="str">
        <x:v>resolved</x:v>
      </x:c>
      <x:c r="C35" s="12" t="n">
        <x:v>1</x:v>
      </x:c>
      <x:c r="D35" s="12" t="str">
        <x:v>Email:383</x:v>
      </x:c>
      <x:c r="E35" s="12" t="str">
        <x:v>inventaire_union_paragraphe7_revise_axes.xlsx:sheet:Union probatoire;row:128 | inventaire_union_paragraphe7_revise_axes.xlsx:sheet:Union probatoire;row:58</x:v>
      </x:c>
    </x:row>
    <x:row r="36">
      <x:c r="A36" s="12" t="str">
        <x:v>P-128</x:v>
      </x:c>
      <x:c r="B36" s="12" t="str">
        <x:v>ambiguous</x:v>
      </x:c>
      <x:c r="C36" s="12" t="n">
        <x:v>13</x:v>
      </x:c>
      <x:c r="D36" s="12" t="str">
        <x:v>Event:113 | Event:114 | Event:115 | Event:116 | Event:117 | Event:118 | Event:119 | Event:120 | Event:121 | Event:122 | Event:123 | Event:124 | Event:125</x:v>
      </x:c>
      <x:c r="E36" s="12" t="str">
        <x:v>inventaire_union_paragraphe7_revise_axes.xlsx:sheet:Union probatoire;row:129 | inventaire_union_paragraphe7_revise_axes.xlsx:sheet:Union probatoire;row:68 | inventaire_union_paragraphe7_revise_axes.xlsx:sheet:Union probatoire;row:69 | inventaire_union_paragraphe7_revise_axes.xlsx:sheet:Union probatoire;row:70 | inventaire_union_paragraphe7_revise_axes.xlsx:sheet:Union probatoire;row:71 | inventaire_union_paragraphe7_revise_axes.xlsx:sheet:Union probatoire;row:72 | inventaire_union_paragraphe7_revise_axes.xlsx:sheet:Union probatoire;row:73 | inventaire_union_paragraphe7_revise_axes.xlsx:sheet:Union probatoire;row:74 | inventaire_union_paragraphe7_revise_axes.xlsx:sheet:Union probatoire;row:75 | inventaire_union_paragraphe7_revise_axes.xlsx:sheet:Union probatoire;row:76 | inventaire_union_paragraphe7_revise_axes.xlsx:sheet:Union probatoire;row:77 | inventaire_union_paragraphe7_revise_axes.xlsx:sheet:Union probatoire;row:78 | inventaire_union_paragraphe7_revise_axes.xlsx:sheet:Union probatoire;row:79 | inventaire_union_paragraphe7_revise_axes.xlsx:sheet:Union probatoire;row:80</x:v>
      </x:c>
    </x:row>
    <x:row r="37">
      <x:c r="A37" s="12" t="str">
        <x:v>P-129</x:v>
      </x:c>
      <x:c r="B37" s="12" t="str">
        <x:v>unresolved</x:v>
      </x:c>
      <x:c r="C37" s="12" t="n">
        <x:v>0</x:v>
      </x:c>
      <x:c r="D37" s="12" t="str"/>
      <x:c r="E37" s="12" t="str">
        <x:v>inventaire_union_paragraphe7_revise_axes.xlsx:sheet:Union probatoire;row:130</x:v>
      </x:c>
    </x:row>
    <x:row r="38">
      <x:c r="A38" s="12" t="str">
        <x:v>P-130</x:v>
      </x:c>
      <x:c r="B38" s="12" t="str">
        <x:v>unresolved</x:v>
      </x:c>
      <x:c r="C38" s="12" t="n">
        <x:v>0</x:v>
      </x:c>
      <x:c r="D38" s="12" t="str"/>
      <x:c r="E38" s="12" t="str">
        <x:v>inventaire_union_paragraphe7_revise_axes.xlsx:sheet:Union probatoire;row:131</x:v>
      </x:c>
    </x:row>
    <x:row r="39">
      <x:c r="A39" s="12" t="str">
        <x:v>P-131</x:v>
      </x:c>
      <x:c r="B39" s="12" t="str">
        <x:v>unresolved</x:v>
      </x:c>
      <x:c r="C39" s="12" t="n">
        <x:v>0</x:v>
      </x:c>
      <x:c r="D39" s="12" t="str"/>
      <x:c r="E39" s="12" t="str">
        <x:v>inventaire_union_paragraphe7_revise_axes.xlsx:sheet:Union probatoire;row:132</x:v>
      </x:c>
    </x:row>
    <x:row r="40">
      <x:c r="A40" s="12" t="str">
        <x:v>P-132</x:v>
      </x:c>
      <x:c r="B40" s="12" t="str">
        <x:v>unresolved</x:v>
      </x:c>
      <x:c r="C40" s="12" t="n">
        <x:v>0</x:v>
      </x:c>
      <x:c r="D40" s="12" t="str"/>
      <x:c r="E40" s="12" t="str">
        <x:v>inventaire_union_paragraphe7_revise_axes.xlsx:sheet:Union probatoire;row:133</x:v>
      </x:c>
    </x:row>
    <x:row r="41">
      <x:c r="A41" s="12" t="str">
        <x:v>P-133</x:v>
      </x:c>
      <x:c r="B41" s="12" t="str">
        <x:v>unresolved</x:v>
      </x:c>
      <x:c r="C41" s="12" t="n">
        <x:v>0</x:v>
      </x:c>
      <x:c r="D41" s="12" t="str"/>
      <x:c r="E41" s="12" t="str">
        <x:v>inventaire_union_paragraphe7_revise_axes.xlsx:sheet:Union probatoire;row:134</x:v>
      </x:c>
    </x:row>
    <x:row r="42">
      <x:c r="A42" s="12" t="str">
        <x:v>P-134</x:v>
      </x:c>
      <x:c r="B42" s="12" t="str">
        <x:v>unresolved</x:v>
      </x:c>
      <x:c r="C42" s="12" t="n">
        <x:v>0</x:v>
      </x:c>
      <x:c r="D42" s="12" t="str"/>
      <x:c r="E42" s="12" t="str">
        <x:v>inventaire_union_paragraphe7_revise_axes.xlsx:sheet:Union probatoire;row:135</x:v>
      </x:c>
    </x:row>
    <x:row r="43">
      <x:c r="A43" s="12" t="str">
        <x:v>P-135</x:v>
      </x:c>
      <x:c r="B43" s="12" t="str">
        <x:v>unresolved</x:v>
      </x:c>
      <x:c r="C43" s="12" t="n">
        <x:v>0</x:v>
      </x:c>
      <x:c r="D43" s="12" t="str"/>
      <x:c r="E43" s="12" t="str">
        <x:v>inventaire_union_paragraphe7_revise_axes.xlsx:sheet:Union probatoire;row:136</x:v>
      </x:c>
    </x:row>
    <x:row r="44">
      <x:c r="A44" s="12" t="str">
        <x:v>P-136</x:v>
      </x:c>
      <x:c r="B44" s="12" t="str">
        <x:v>unresolved</x:v>
      </x:c>
      <x:c r="C44" s="12" t="n">
        <x:v>0</x:v>
      </x:c>
      <x:c r="D44" s="12" t="str"/>
      <x:c r="E44" s="12" t="str">
        <x:v>inventaire_union_paragraphe7_revise_axes.xlsx:sheet:Union probatoire;row:137</x:v>
      </x:c>
    </x:row>
    <x:row r="45">
      <x:c r="A45" s="12" t="str">
        <x:v>P-137</x:v>
      </x:c>
      <x:c r="B45" s="12" t="str">
        <x:v>unresolved</x:v>
      </x:c>
      <x:c r="C45" s="12" t="n">
        <x:v>0</x:v>
      </x:c>
      <x:c r="D45" s="12" t="str"/>
      <x:c r="E45" s="12" t="str">
        <x:v>inventaire_union_paragraphe7_revise_axes.xlsx:sheet:Union probatoire;row:138</x:v>
      </x:c>
    </x:row>
    <x:row r="46">
      <x:c r="A46" s="12" t="str">
        <x:v>P-138</x:v>
      </x:c>
      <x:c r="B46" s="12" t="str">
        <x:v>unresolved</x:v>
      </x:c>
      <x:c r="C46" s="12" t="n">
        <x:v>0</x:v>
      </x:c>
      <x:c r="D46" s="12" t="str"/>
      <x:c r="E46" s="12" t="str">
        <x:v>inventaire_union_paragraphe7_revise_axes.xlsx:sheet:Union probatoire;row:139</x:v>
      </x:c>
    </x:row>
    <x:row r="47">
      <x:c r="A47" s="12" t="str">
        <x:v>P-139</x:v>
      </x:c>
      <x:c r="B47" s="12" t="str">
        <x:v>unresolved</x:v>
      </x:c>
      <x:c r="C47" s="12" t="n">
        <x:v>0</x:v>
      </x:c>
      <x:c r="D47" s="12" t="str"/>
      <x:c r="E47" s="12" t="str">
        <x:v>inventaire_union_paragraphe7_revise_axes.xlsx:sheet:Union probatoire;row:140</x:v>
      </x:c>
    </x:row>
    <x:row r="48">
      <x:c r="A48" s="12" t="str">
        <x:v>P-140</x:v>
      </x:c>
      <x:c r="B48" s="12" t="str">
        <x:v>unresolved</x:v>
      </x:c>
      <x:c r="C48" s="12" t="n">
        <x:v>0</x:v>
      </x:c>
      <x:c r="D48" s="12" t="str"/>
      <x:c r="E48" s="12" t="str">
        <x:v>inventaire_union_paragraphe7_revise_axes.xlsx:sheet:Union probatoire;row:141</x:v>
      </x:c>
    </x:row>
    <x:row r="49">
      <x:c r="A49" s="12" t="str">
        <x:v>P-141</x:v>
      </x:c>
      <x:c r="B49" s="12" t="str">
        <x:v>ambiguous</x:v>
      </x:c>
      <x:c r="C49" s="12" t="n">
        <x:v>13</x:v>
      </x:c>
      <x:c r="D49" s="12" t="str">
        <x:v>Event:113 | Event:114 | Event:115 | Event:116 | Event:117 | Event:118 | Event:119 | Event:120 | Event:121 | Event:122 | Event:123 | Event:124 | Event:125</x:v>
      </x:c>
      <x:c r="E49" s="12" t="str">
        <x:v>inventaire_union_paragraphe7_revise_axes.xlsx:sheet:Union probatoire;row:142 | inventaire_union_paragraphe7_revise_axes.xlsx:sheet:Union probatoire;row:68 | inventaire_union_paragraphe7_revise_axes.xlsx:sheet:Union probatoire;row:69 | inventaire_union_paragraphe7_revise_axes.xlsx:sheet:Union probatoire;row:70 | inventaire_union_paragraphe7_revise_axes.xlsx:sheet:Union probatoire;row:71 | inventaire_union_paragraphe7_revise_axes.xlsx:sheet:Union probatoire;row:72 | inventaire_union_paragraphe7_revise_axes.xlsx:sheet:Union probatoire;row:73 | inventaire_union_paragraphe7_revise_axes.xlsx:sheet:Union probatoire;row:74 | inventaire_union_paragraphe7_revise_axes.xlsx:sheet:Union probatoire;row:75 | inventaire_union_paragraphe7_revise_axes.xlsx:sheet:Union probatoire;row:76 | inventaire_union_paragraphe7_revise_axes.xlsx:sheet:Union probatoire;row:77 | inventaire_union_paragraphe7_revise_axes.xlsx:sheet:Union probatoire;row:78 | inventaire_union_paragraphe7_revise_axes.xlsx:sheet:Union probatoire;row:79 | inventaire_union_paragraphe7_revise_axes.xlsx:sheet:Union probatoire;row:80</x:v>
      </x:c>
    </x:row>
    <x:row r="50">
      <x:c r="A50" s="12" t="str">
        <x:v>P-148</x:v>
      </x:c>
      <x:c r="B50" s="12" t="str">
        <x:v>resolved</x:v>
      </x:c>
      <x:c r="C50" s="12" t="n">
        <x:v>1</x:v>
      </x:c>
      <x:c r="D50" s="12" t="str">
        <x:v>Email:54</x:v>
      </x:c>
      <x:c r="E50" s="12" t="str">
        <x:v>consolidation_pieces_par14-17_2015.xlsx:sheet:Inventaire;row:88 | rapport_union_pieces_par14-17_2015.md:line:96 | union_pieces_par14-17_2015.csv:row:85</x:v>
      </x:c>
    </x:row>
    <x:row r="51">
      <x:c r="A51" s="12" t="str">
        <x:v>P-156</x:v>
      </x:c>
      <x:c r="B51" s="12" t="str">
        <x:v>ambiguous</x:v>
      </x:c>
      <x:c r="C51" s="12" t="n">
        <x:v>2</x:v>
      </x:c>
      <x:c r="D51" s="12" t="str">
        <x:v>Email:51 | Email:53</x:v>
      </x:c>
      <x:c r="E51" s="12" t="str">
        <x:v>inventaire_union_paragraphe7_revise_axes.xlsx:sheet:Union probatoire;row:143 | inventaire_union_paragraphe7_revise_axes.xlsx:sheet:Union probatoire;row:22 | inventaire_union_paragraphe7_revise_axes.xlsx:sheet:Union probatoire;row:23</x:v>
      </x:c>
    </x:row>
    <x:row r="52">
      <x:c r="A52" s="12" t="str">
        <x:v>P-157</x:v>
      </x:c>
      <x:c r="B52" s="12" t="str">
        <x:v>ambiguous</x:v>
      </x:c>
      <x:c r="C52" s="12" t="n">
        <x:v>2</x:v>
      </x:c>
      <x:c r="D52" s="12" t="str">
        <x:v>Email:51 | Email:53</x:v>
      </x:c>
      <x:c r="E52" s="12" t="str">
        <x:v>inventaire_union_paragraphe7_revise_axes.xlsx:sheet:Union probatoire;row:144 | inventaire_union_paragraphe7_revise_axes.xlsx:sheet:Union probatoire;row:22 | inventaire_union_paragraphe7_revise_axes.xlsx:sheet:Union probatoire;row:23</x:v>
      </x:c>
    </x:row>
    <x:row r="53">
      <x:c r="A53" s="12" t="str">
        <x:v>P-174</x:v>
      </x:c>
      <x:c r="B53" s="12" t="str">
        <x:v>ambiguous</x:v>
      </x:c>
      <x:c r="C53" s="12" t="n">
        <x:v>14</x:v>
      </x:c>
      <x:c r="D53" s="12" t="str">
        <x:v>PDFDocument:45 | PDFDocument:46 | PDFDocument:47 | PDFDocument:48 | PDFDocument:49 | PDFDocument:50 | PDFDocument:51 | PDFDocument:52 | PDFDocument:53 | PDFDocument:54 | PDFDocument:55 | PDFDocument:56 | PDFDocument:57 | PDFDocument:58</x:v>
      </x:c>
      <x:c r="E53" s="12" t="str">
        <x:v>inventaire_union_paragraphe7_revise_axes.xlsx:sheet:Union probatoire;row:100 | inventaire_union_paragraphe7_revise_axes.xlsx:sheet:Union probatoire;row:145 | inventaire_union_paragraphe7_revise_axes.xlsx:sheet:Union probatoire;row:87 | inventaire_union_paragraphe7_revise_axes.xlsx:sheet:Union probatoire;row:88 | inventaire_union_paragraphe7_revise_axes.xlsx:sheet:Union probatoire;row:89 | inventaire_union_paragraphe7_revise_axes.xlsx:sheet:Union probatoire;row:90 | inventaire_union_paragraphe7_revise_axes.xlsx:sheet:Union probatoire;row:91 | inventaire_union_paragraphe7_revise_axes.xlsx:sheet:Union probatoire;row:92 | inventaire_union_paragraphe7_revise_axes.xlsx:sheet:Union probatoire;row:93 | inventaire_union_paragraphe7_revise_axes.xlsx:sheet:Union probatoire;row:94 | inventaire_union_paragraphe7_revise_axes.xlsx:sheet:Union probatoire;row:95 | inventaire_union_paragraphe7_revise_axes.xlsx:sheet:Union probatoire;row:96 | inventaire_union_paragraphe7_revise_axes.xlsx:sheet:Union probatoire;row:97 | inventaire_union_paragraphe7_revise_axes.xlsx:sheet:Union probatoire;row:98 | inventaire_union_paragraphe7_revise_axes.xlsx:sheet:Union probatoire;row:99</x:v>
      </x:c>
    </x:row>
    <x:row r="54">
      <x:c r="A54" s="12" t="str">
        <x:v>P-186</x:v>
      </x:c>
      <x:c r="B54" s="12" t="str">
        <x:v>resolved</x:v>
      </x:c>
      <x:c r="C54" s="12" t="n">
        <x:v>1</x:v>
      </x:c>
      <x:c r="D54" s="12" t="str">
        <x:v>Email:347</x:v>
      </x:c>
      <x:c r="E54" s="12" t="str">
        <x:v>consolidation_pieces_par14-17_2015.xlsx:sheet:Inventaire;row:71 | rapport_union_pieces_par14-17_2015.md:line:79 | union_pieces_par14-17_2015.csv:row:68</x:v>
      </x:c>
    </x:row>
    <x:row r="55">
      <x:c r="A55" s="12" t="str">
        <x:v>P-244</x:v>
      </x:c>
      <x:c r="B55" s="12" t="str">
        <x:v>resolved</x:v>
      </x:c>
      <x:c r="C55" s="12" t="n">
        <x:v>1</x:v>
      </x:c>
      <x:c r="D55" s="12" t="str">
        <x:v>Event:316</x:v>
      </x:c>
      <x:c r="E55" s="12" t="str">
        <x:v>inventaire_union_paragraphe_9.xlsx:sheet:Inventaire principal;row:96</x:v>
      </x:c>
    </x:row>
    <x:row r="56">
      <x:c r="A56" s="12" t="str">
        <x:v>P-247</x:v>
      </x:c>
      <x:c r="B56" s="12" t="str">
        <x:v>resolved</x:v>
      </x:c>
      <x:c r="C56" s="12" t="n">
        <x:v>1</x:v>
      </x:c>
      <x:c r="D56" s="12" t="str">
        <x:v>Event:244</x:v>
      </x:c>
      <x:c r="E56" s="12" t="str">
        <x:v>inventaire_union_paragraphe_9.xlsx:sheet:Inventaire principal;row:62</x:v>
      </x:c>
    </x:row>
    <x:row r="57">
      <x:c r="A57" s="12" t="str">
        <x:v>P-250</x:v>
      </x:c>
      <x:c r="B57" s="12" t="str">
        <x:v>resolved</x:v>
      </x:c>
      <x:c r="C57" s="12" t="n">
        <x:v>1</x:v>
      </x:c>
      <x:c r="D57" s="12" t="str">
        <x:v>Event:246</x:v>
      </x:c>
      <x:c r="E57" s="12" t="str">
        <x:v>inventaire_union_paragraphe_9.xlsx:sheet:Inventaire principal;row:64</x:v>
      </x:c>
    </x:row>
    <x:row r="58">
      <x:c r="A58" s="12" t="str">
        <x:v>P-251</x:v>
      </x:c>
      <x:c r="B58" s="12" t="str">
        <x:v>resolved</x:v>
      </x:c>
      <x:c r="C58" s="12" t="n">
        <x:v>1</x:v>
      </x:c>
      <x:c r="D58" s="12" t="str">
        <x:v>Event:317</x:v>
      </x:c>
      <x:c r="E58" s="12" t="str">
        <x:v>inventaire_union_paragraphe_9.xlsx:sheet:Inventaire principal;row:97</x:v>
      </x:c>
    </x:row>
    <x:row r="59">
      <x:c r="A59" s="12" t="str">
        <x:v>P-259</x:v>
      </x:c>
      <x:c r="B59" s="12" t="str">
        <x:v>resolved</x:v>
      </x:c>
      <x:c r="C59" s="12" t="n">
        <x:v>1</x:v>
      </x:c>
      <x:c r="D59" s="12" t="str">
        <x:v>Event:254</x:v>
      </x:c>
      <x:c r="E59" s="12" t="str">
        <x:v>inventaire_union_paragraphe_9.xlsx:sheet:Inventaire principal;row:72</x:v>
      </x:c>
    </x:row>
    <x:row r="60">
      <x:c r="A60" s="12" t="str">
        <x:v>P-262</x:v>
      </x:c>
      <x:c r="B60" s="12" t="str">
        <x:v>ambiguous</x:v>
      </x:c>
      <x:c r="C60" s="12" t="n">
        <x:v>2</x:v>
      </x:c>
      <x:c r="D60" s="12" t="str">
        <x:v>Event:312 | PhotoDocument:5</x:v>
      </x:c>
      <x:c r="E60" s="12" t="str">
        <x:v>inventaire_union_paragraphe_9.xlsx:sheet:Inventaire principal;row:155 | inventaire_union_paragraphe_9.xlsx:sheet:Inventaire principal;row:92</x:v>
      </x:c>
    </x:row>
    <x:row r="61">
      <x:c r="A61" s="12" t="str">
        <x:v>P-263</x:v>
      </x:c>
      <x:c r="B61" s="12" t="str">
        <x:v>resolved</x:v>
      </x:c>
      <x:c r="C61" s="12" t="n">
        <x:v>1</x:v>
      </x:c>
      <x:c r="D61" s="12" t="str">
        <x:v>Event:313</x:v>
      </x:c>
      <x:c r="E61" s="12" t="str">
        <x:v>inventaire_union_paragraphe_9.xlsx:sheet:Inventaire principal;row:93</x:v>
      </x:c>
    </x:row>
    <x:row r="62">
      <x:c r="A62" s="12" t="str">
        <x:v>P-264</x:v>
      </x:c>
      <x:c r="B62" s="12" t="str">
        <x:v>resolved</x:v>
      </x:c>
      <x:c r="C62" s="12" t="n">
        <x:v>1</x:v>
      </x:c>
      <x:c r="D62" s="12" t="str">
        <x:v>Event:314</x:v>
      </x:c>
      <x:c r="E62" s="12" t="str">
        <x:v>inventaire_union_paragraphe_9.xlsx:sheet:Inventaire principal;row:94</x:v>
      </x:c>
    </x:row>
    <x:row r="63">
      <x:c r="A63" s="12" t="str">
        <x:v>P-265</x:v>
      </x:c>
      <x:c r="B63" s="12" t="str">
        <x:v>ambiguous</x:v>
      </x:c>
      <x:c r="C63" s="12" t="n">
        <x:v>2</x:v>
      </x:c>
      <x:c r="D63" s="12" t="str">
        <x:v>Event:315 | PhotoDocument:5</x:v>
      </x:c>
      <x:c r="E63" s="12" t="str">
        <x:v>inventaire_union_paragraphe_9.xlsx:sheet:Inventaire principal;row:155 | inventaire_union_paragraphe_9.xlsx:sheet:Inventaire principal;row:95</x:v>
      </x:c>
    </x:row>
    <x:row r="64">
      <x:c r="A64" s="12" t="str">
        <x:v>P-266</x:v>
      </x:c>
      <x:c r="B64" s="12" t="str">
        <x:v>resolved</x:v>
      </x:c>
      <x:c r="C64" s="12" t="n">
        <x:v>1</x:v>
      </x:c>
      <x:c r="D64" s="12" t="str">
        <x:v>Email:35</x:v>
      </x:c>
      <x:c r="E64" s="12" t="str">
        <x:v>inventaire_union_paragraphe_9.xlsx:sheet:Inventaire principal;row:112</x:v>
      </x:c>
    </x:row>
    <x:row r="65">
      <x:c r="A65" s="12" t="str">
        <x:v>P-267</x:v>
      </x:c>
      <x:c r="B65" s="12" t="str">
        <x:v>ambiguous</x:v>
      </x:c>
      <x:c r="C65" s="12" t="n">
        <x:v>2</x:v>
      </x:c>
      <x:c r="D65" s="12" t="str">
        <x:v>Email:136 | PDFDocument:60</x:v>
      </x:c>
      <x:c r="E65" s="12" t="str">
        <x:v>inventaire_union_paragraphe_9.xlsx:sheet:Inventaire principal;row:119 | inventaire_union_paragraphe_9.xlsx:sheet:Inventaire principal;row:152</x:v>
      </x:c>
    </x:row>
    <x:row r="66">
      <x:c r="A66" s="12" t="str">
        <x:v>P-269</x:v>
      </x:c>
      <x:c r="B66" s="12" t="str">
        <x:v>resolved</x:v>
      </x:c>
      <x:c r="C66" s="12" t="n">
        <x:v>1</x:v>
      </x:c>
      <x:c r="D66" s="12" t="str">
        <x:v>Email:34</x:v>
      </x:c>
      <x:c r="E66" s="12" t="str">
        <x:v>inventaire_union_paragraphe_9.xlsx:sheet:Inventaire principal;row:111</x:v>
      </x:c>
    </x:row>
    <x:row r="67">
      <x:c r="A67" s="12" t="str">
        <x:v>P-279</x:v>
      </x:c>
      <x:c r="B67" s="12" t="str">
        <x:v>resolved</x:v>
      </x:c>
      <x:c r="C67" s="12" t="n">
        <x:v>1</x:v>
      </x:c>
      <x:c r="D67" s="12" t="str">
        <x:v>Event:318</x:v>
      </x:c>
      <x:c r="E67" s="12" t="str">
        <x:v>inventaire_union_paragraphe_9.xlsx:sheet:Inventaire principal;row:98</x:v>
      </x:c>
    </x:row>
    <x:row r="68">
      <x:c r="A68" s="12" t="str">
        <x:v>P-284</x:v>
      </x:c>
      <x:c r="B68" s="12" t="str">
        <x:v>resolved</x:v>
      </x:c>
      <x:c r="C68" s="12" t="n">
        <x:v>1</x:v>
      </x:c>
      <x:c r="D68" s="12" t="str">
        <x:v>Event:319</x:v>
      </x:c>
      <x:c r="E68" s="12" t="str">
        <x:v>inventaire_union_paragraphe_9.xlsx:sheet:Inventaire principal;row:99</x:v>
      </x:c>
    </x:row>
    <x:row r="69">
      <x:c r="A69" s="12" t="str">
        <x:v>P-289</x:v>
      </x:c>
      <x:c r="B69" s="12" t="str">
        <x:v>resolved</x:v>
      </x:c>
      <x:c r="C69" s="12" t="n">
        <x:v>1</x:v>
      </x:c>
      <x:c r="D69" s="12" t="str">
        <x:v>Event:267</x:v>
      </x:c>
      <x:c r="E69" s="12" t="str">
        <x:v>inventaire_union_paragraphe_9.xlsx:sheet:Inventaire principal;row:85</x:v>
      </x:c>
    </x:row>
    <x:row r="70">
      <x:c r="A70" s="12" t="str">
        <x:v>P-338</x:v>
      </x:c>
      <x:c r="B70" s="12" t="str">
        <x:v>resolved</x:v>
      </x:c>
      <x:c r="C70" s="12" t="n">
        <x:v>1</x:v>
      </x:c>
      <x:c r="D70" s="12" t="str">
        <x:v>PDFDocument:2</x:v>
      </x:c>
      <x:c r="E70" s="12" t="str">
        <x:v>2015_par_18.md:line:21 | 2015_par_18.md:line:29</x:v>
      </x:c>
    </x:row>
    <x:row r="71">
      <x:c r="A71" s="12" t="str">
        <x:v>P-340</x:v>
      </x:c>
      <x:c r="B71" s="12" t="str">
        <x:v>unresolved</x:v>
      </x:c>
      <x:c r="C71" s="12" t="n">
        <x:v>0</x:v>
      </x:c>
      <x:c r="D71" s="12" t="str"/>
      <x:c r="E71" s="12" t="str">
        <x:v>2015_par_18.md:line:30</x:v>
      </x:c>
    </x:row>
    <x:row r="72">
      <x:c r="A72" s="12" t="str">
        <x:v>P-362</x:v>
      </x:c>
      <x:c r="B72" s="12" t="str">
        <x:v>resolved</x:v>
      </x:c>
      <x:c r="C72" s="12" t="n">
        <x:v>1</x:v>
      </x:c>
      <x:c r="D72" s="12" t="str">
        <x:v>Email:16</x:v>
      </x:c>
      <x:c r="E72" s="12" t="str">
        <x:v>consolidation_pieces_par14-17_2015.xlsx:sheet:Inventaire;row:13 | inventaire_union_paragraphe7_revise_axes.xlsx:sheet:Union probatoire;row:9 | rapport_union_pieces_par14-17_2015.md:line:21 | union_pieces_par14-17_2015.csv:row:10</x:v>
      </x:c>
    </x:row>
    <x:row r="73">
      <x:c r="A73" s="12" t="str">
        <x:v>P-384</x:v>
      </x:c>
      <x:c r="B73" s="12" t="str">
        <x:v>resolved</x:v>
      </x:c>
      <x:c r="C73" s="12" t="n">
        <x:v>1</x:v>
      </x:c>
      <x:c r="D73" s="12" t="str">
        <x:v>Email:330</x:v>
      </x:c>
      <x:c r="E73" s="12" t="str">
        <x:v>2023_par_7_8.md:line:31</x:v>
      </x:c>
    </x:row>
    <x:row r="74">
      <x:c r="A74" s="14" t="str">
        <x:v>P-386</x:v>
      </x:c>
      <x:c r="B74" s="14" t="str">
        <x:v>resolved</x:v>
      </x:c>
      <x:c r="C74" s="14" t="n">
        <x:v>1</x:v>
      </x:c>
      <x:c r="D74" s="14" t="str">
        <x:v>Email:3</x:v>
      </x:c>
      <x:c r="E74" s="14" t="str">
        <x:v>2023_par_7_8.md:line:32</x:v>
      </x:c>
    </x:row>
  </x:sheetData>
  <x:mergeCells>
    <x:mergeCell ref="A1:E1"/>
  </x:mergeCells>
  <x:conditionalFormatting sqref="B4:B74">
    <x:cfRule type="containsText" dxfId="1" priority="1" operator="containsText" text="ambiguous"/>
    <x:cfRule type="containsText" dxfId="2" priority="2" operator="containsText" text="unresolved"/>
  </x:conditionalFormatting>
  <x:pageMargins left="0.7" right="0.7" top="0.75" bottom="0.75" header="0.3" footer="0.3"/>
  <x:tableParts count="1">
    <x:tablePart xmlns:r="http://schemas.openxmlformats.org/officeDocument/2006/relationships" r:id="R2c3196b2447c447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8" hidden="0" customWidth="1"/>
    <x:col min="2" max="2" width="18" hidden="0" customWidth="1"/>
    <x:col min="3" max="3" width="12" hidden="0" customWidth="1"/>
    <x:col min="4" max="4" width="22" hidden="0" customWidth="1"/>
    <x:col min="5" max="5" width="22" hidden="0" customWidth="1"/>
    <x:col min="6" max="6" width="30" hidden="0" customWidth="1"/>
    <x:col min="7" max="7" width="58" hidden="0" customWidth="1"/>
  </x:cols>
  <x:sheetData>
    <x:row r="1" ht="28" customHeight="1">
      <x:c r="A1" s="2" t="str">
        <x:v>Plages collectives</x:v>
      </x:c>
      <x:c r="B1" s="2" t="str">
        <x:v>Plages collectives</x:v>
      </x:c>
      <x:c r="C1" s="2" t="str">
        <x:v>Plages collectives</x:v>
      </x:c>
      <x:c r="D1" s="2" t="str">
        <x:v>Plages collectives</x:v>
      </x:c>
      <x:c r="E1" s="2" t="str">
        <x:v>Plages collectives</x:v>
      </x:c>
      <x:c r="F1" s="2" t="str">
        <x:v>Plages collectives</x:v>
      </x:c>
      <x:c r="G1" s="2" t="str">
        <x:v>Plages collectives</x:v>
      </x:c>
    </x:row>
    <x:row r="3" ht="30" customHeight="1">
      <x:c r="A3" s="4" t="str">
        <x:v>Référence collective</x:v>
      </x:c>
      <x:c r="B3" s="4" t="str">
        <x:v>Modèle</x:v>
      </x:c>
      <x:c r="C3" s="4" t="str">
        <x:v>PK proposé</x:v>
      </x:c>
      <x:c r="D3" s="4" t="str">
        <x:v>Clé canonique</x:v>
      </x:c>
      <x:c r="E3" s="4" t="str">
        <x:v>État Django</x:v>
      </x:c>
      <x:c r="F3" s="4" t="str">
        <x:v>État expansion</x:v>
      </x:c>
      <x:c r="G3" s="4" t="str">
        <x:v>Fichiers sources</x:v>
      </x:c>
    </x:row>
    <x:row r="4">
      <x:c r="A4" s="10" t="str">
        <x:v>ChatMessages id=111 à 146</x:v>
      </x:c>
      <x:c r="B4" s="10" t="str">
        <x:v>ChatMessage</x:v>
      </x:c>
      <x:c r="C4" s="10" t="n">
        <x:v>111</x:v>
      </x:c>
      <x:c r="D4" s="10" t="str">
        <x:v>ChatMessage:111</x:v>
      </x:c>
      <x:c r="E4" s="10" t="str">
        <x:v>found</x:v>
      </x:c>
      <x:c r="F4" s="10" t="str">
        <x:v>proposed_requires_review</x:v>
      </x:c>
      <x:c r="G4" s="10" t="str">
        <x:v>2015_par_4_5_6.md | rapport_union_pieces_par14-17_2015.md | union_exhaustive_pieces_paragraphes_4-5-6.xlsx</x:v>
      </x:c>
    </x:row>
    <x:row r="5">
      <x:c r="A5" s="12" t="str">
        <x:v>ChatMessages id=111 à 146</x:v>
      </x:c>
      <x:c r="B5" s="12" t="str">
        <x:v>ChatMessage</x:v>
      </x:c>
      <x:c r="C5" s="12" t="n">
        <x:v>112</x:v>
      </x:c>
      <x:c r="D5" s="12" t="str">
        <x:v>ChatMessage:112</x:v>
      </x:c>
      <x:c r="E5" s="12" t="str">
        <x:v>not_in_union_audit</x:v>
      </x:c>
      <x:c r="F5" s="12" t="str">
        <x:v>proposed_requires_review</x:v>
      </x:c>
      <x:c r="G5" s="12" t="str">
        <x:v>2015_par_4_5_6.md | rapport_union_pieces_par14-17_2015.md | union_exhaustive_pieces_paragraphes_4-5-6.xlsx</x:v>
      </x:c>
    </x:row>
    <x:row r="6">
      <x:c r="A6" s="12" t="str">
        <x:v>ChatMessages id=111 à 146</x:v>
      </x:c>
      <x:c r="B6" s="12" t="str">
        <x:v>ChatMessage</x:v>
      </x:c>
      <x:c r="C6" s="12" t="n">
        <x:v>113</x:v>
      </x:c>
      <x:c r="D6" s="12" t="str">
        <x:v>ChatMessage:113</x:v>
      </x:c>
      <x:c r="E6" s="12" t="str">
        <x:v>not_in_union_audit</x:v>
      </x:c>
      <x:c r="F6" s="12" t="str">
        <x:v>proposed_requires_review</x:v>
      </x:c>
      <x:c r="G6" s="12" t="str">
        <x:v>2015_par_4_5_6.md | rapport_union_pieces_par14-17_2015.md | union_exhaustive_pieces_paragraphes_4-5-6.xlsx</x:v>
      </x:c>
    </x:row>
    <x:row r="7">
      <x:c r="A7" s="12" t="str">
        <x:v>ChatMessages id=111 à 146</x:v>
      </x:c>
      <x:c r="B7" s="12" t="str">
        <x:v>ChatMessage</x:v>
      </x:c>
      <x:c r="C7" s="12" t="n">
        <x:v>114</x:v>
      </x:c>
      <x:c r="D7" s="12" t="str">
        <x:v>ChatMessage:114</x:v>
      </x:c>
      <x:c r="E7" s="12" t="str">
        <x:v>not_in_union_audit</x:v>
      </x:c>
      <x:c r="F7" s="12" t="str">
        <x:v>proposed_requires_review</x:v>
      </x:c>
      <x:c r="G7" s="12" t="str">
        <x:v>2015_par_4_5_6.md | rapport_union_pieces_par14-17_2015.md | union_exhaustive_pieces_paragraphes_4-5-6.xlsx</x:v>
      </x:c>
    </x:row>
    <x:row r="8">
      <x:c r="A8" s="12" t="str">
        <x:v>ChatMessages id=111 à 146</x:v>
      </x:c>
      <x:c r="B8" s="12" t="str">
        <x:v>ChatMessage</x:v>
      </x:c>
      <x:c r="C8" s="12" t="n">
        <x:v>115</x:v>
      </x:c>
      <x:c r="D8" s="12" t="str">
        <x:v>ChatMessage:115</x:v>
      </x:c>
      <x:c r="E8" s="12" t="str">
        <x:v>not_in_union_audit</x:v>
      </x:c>
      <x:c r="F8" s="12" t="str">
        <x:v>proposed_requires_review</x:v>
      </x:c>
      <x:c r="G8" s="12" t="str">
        <x:v>2015_par_4_5_6.md | rapport_union_pieces_par14-17_2015.md | union_exhaustive_pieces_paragraphes_4-5-6.xlsx</x:v>
      </x:c>
    </x:row>
    <x:row r="9">
      <x:c r="A9" s="12" t="str">
        <x:v>ChatMessages id=111 à 146</x:v>
      </x:c>
      <x:c r="B9" s="12" t="str">
        <x:v>ChatMessage</x:v>
      </x:c>
      <x:c r="C9" s="12" t="n">
        <x:v>116</x:v>
      </x:c>
      <x:c r="D9" s="12" t="str">
        <x:v>ChatMessage:116</x:v>
      </x:c>
      <x:c r="E9" s="12" t="str">
        <x:v>not_in_union_audit</x:v>
      </x:c>
      <x:c r="F9" s="12" t="str">
        <x:v>proposed_requires_review</x:v>
      </x:c>
      <x:c r="G9" s="12" t="str">
        <x:v>2015_par_4_5_6.md | rapport_union_pieces_par14-17_2015.md | union_exhaustive_pieces_paragraphes_4-5-6.xlsx</x:v>
      </x:c>
    </x:row>
    <x:row r="10">
      <x:c r="A10" s="12" t="str">
        <x:v>ChatMessages id=111 à 146</x:v>
      </x:c>
      <x:c r="B10" s="12" t="str">
        <x:v>ChatMessage</x:v>
      </x:c>
      <x:c r="C10" s="12" t="n">
        <x:v>117</x:v>
      </x:c>
      <x:c r="D10" s="12" t="str">
        <x:v>ChatMessage:117</x:v>
      </x:c>
      <x:c r="E10" s="12" t="str">
        <x:v>not_in_union_audit</x:v>
      </x:c>
      <x:c r="F10" s="12" t="str">
        <x:v>proposed_requires_review</x:v>
      </x:c>
      <x:c r="G10" s="12" t="str">
        <x:v>2015_par_4_5_6.md | rapport_union_pieces_par14-17_2015.md | union_exhaustive_pieces_paragraphes_4-5-6.xlsx</x:v>
      </x:c>
    </x:row>
    <x:row r="11">
      <x:c r="A11" s="12" t="str">
        <x:v>ChatMessages id=111 à 146</x:v>
      </x:c>
      <x:c r="B11" s="12" t="str">
        <x:v>ChatMessage</x:v>
      </x:c>
      <x:c r="C11" s="12" t="n">
        <x:v>118</x:v>
      </x:c>
      <x:c r="D11" s="12" t="str">
        <x:v>ChatMessage:118</x:v>
      </x:c>
      <x:c r="E11" s="12" t="str">
        <x:v>not_in_union_audit</x:v>
      </x:c>
      <x:c r="F11" s="12" t="str">
        <x:v>proposed_requires_review</x:v>
      </x:c>
      <x:c r="G11" s="12" t="str">
        <x:v>2015_par_4_5_6.md | rapport_union_pieces_par14-17_2015.md | union_exhaustive_pieces_paragraphes_4-5-6.xlsx</x:v>
      </x:c>
    </x:row>
    <x:row r="12">
      <x:c r="A12" s="12" t="str">
        <x:v>ChatMessages id=111 à 146</x:v>
      </x:c>
      <x:c r="B12" s="12" t="str">
        <x:v>ChatMessage</x:v>
      </x:c>
      <x:c r="C12" s="12" t="n">
        <x:v>119</x:v>
      </x:c>
      <x:c r="D12" s="12" t="str">
        <x:v>ChatMessage:119</x:v>
      </x:c>
      <x:c r="E12" s="12" t="str">
        <x:v>not_in_union_audit</x:v>
      </x:c>
      <x:c r="F12" s="12" t="str">
        <x:v>proposed_requires_review</x:v>
      </x:c>
      <x:c r="G12" s="12" t="str">
        <x:v>2015_par_4_5_6.md | rapport_union_pieces_par14-17_2015.md | union_exhaustive_pieces_paragraphes_4-5-6.xlsx</x:v>
      </x:c>
    </x:row>
    <x:row r="13">
      <x:c r="A13" s="12" t="str">
        <x:v>ChatMessages id=111 à 146</x:v>
      </x:c>
      <x:c r="B13" s="12" t="str">
        <x:v>ChatMessage</x:v>
      </x:c>
      <x:c r="C13" s="12" t="n">
        <x:v>120</x:v>
      </x:c>
      <x:c r="D13" s="12" t="str">
        <x:v>ChatMessage:120</x:v>
      </x:c>
      <x:c r="E13" s="12" t="str">
        <x:v>not_in_union_audit</x:v>
      </x:c>
      <x:c r="F13" s="12" t="str">
        <x:v>proposed_requires_review</x:v>
      </x:c>
      <x:c r="G13" s="12" t="str">
        <x:v>2015_par_4_5_6.md | rapport_union_pieces_par14-17_2015.md | union_exhaustive_pieces_paragraphes_4-5-6.xlsx</x:v>
      </x:c>
    </x:row>
    <x:row r="14">
      <x:c r="A14" s="12" t="str">
        <x:v>ChatMessages id=111 à 146</x:v>
      </x:c>
      <x:c r="B14" s="12" t="str">
        <x:v>ChatMessage</x:v>
      </x:c>
      <x:c r="C14" s="12" t="n">
        <x:v>121</x:v>
      </x:c>
      <x:c r="D14" s="12" t="str">
        <x:v>ChatMessage:121</x:v>
      </x:c>
      <x:c r="E14" s="12" t="str">
        <x:v>not_in_union_audit</x:v>
      </x:c>
      <x:c r="F14" s="12" t="str">
        <x:v>proposed_requires_review</x:v>
      </x:c>
      <x:c r="G14" s="12" t="str">
        <x:v>2015_par_4_5_6.md | rapport_union_pieces_par14-17_2015.md | union_exhaustive_pieces_paragraphes_4-5-6.xlsx</x:v>
      </x:c>
    </x:row>
    <x:row r="15">
      <x:c r="A15" s="12" t="str">
        <x:v>ChatMessages id=111 à 146</x:v>
      </x:c>
      <x:c r="B15" s="12" t="str">
        <x:v>ChatMessage</x:v>
      </x:c>
      <x:c r="C15" s="12" t="n">
        <x:v>122</x:v>
      </x:c>
      <x:c r="D15" s="12" t="str">
        <x:v>ChatMessage:122</x:v>
      </x:c>
      <x:c r="E15" s="12" t="str">
        <x:v>not_in_union_audit</x:v>
      </x:c>
      <x:c r="F15" s="12" t="str">
        <x:v>proposed_requires_review</x:v>
      </x:c>
      <x:c r="G15" s="12" t="str">
        <x:v>2015_par_4_5_6.md | rapport_union_pieces_par14-17_2015.md | union_exhaustive_pieces_paragraphes_4-5-6.xlsx</x:v>
      </x:c>
    </x:row>
    <x:row r="16">
      <x:c r="A16" s="12" t="str">
        <x:v>ChatMessages id=111 à 146</x:v>
      </x:c>
      <x:c r="B16" s="12" t="str">
        <x:v>ChatMessage</x:v>
      </x:c>
      <x:c r="C16" s="12" t="n">
        <x:v>123</x:v>
      </x:c>
      <x:c r="D16" s="12" t="str">
        <x:v>ChatMessage:123</x:v>
      </x:c>
      <x:c r="E16" s="12" t="str">
        <x:v>not_in_union_audit</x:v>
      </x:c>
      <x:c r="F16" s="12" t="str">
        <x:v>proposed_requires_review</x:v>
      </x:c>
      <x:c r="G16" s="12" t="str">
        <x:v>2015_par_4_5_6.md | rapport_union_pieces_par14-17_2015.md | union_exhaustive_pieces_paragraphes_4-5-6.xlsx</x:v>
      </x:c>
    </x:row>
    <x:row r="17">
      <x:c r="A17" s="12" t="str">
        <x:v>ChatMessages id=111 à 146</x:v>
      </x:c>
      <x:c r="B17" s="12" t="str">
        <x:v>ChatMessage</x:v>
      </x:c>
      <x:c r="C17" s="12" t="n">
        <x:v>124</x:v>
      </x:c>
      <x:c r="D17" s="12" t="str">
        <x:v>ChatMessage:124</x:v>
      </x:c>
      <x:c r="E17" s="12" t="str">
        <x:v>not_in_union_audit</x:v>
      </x:c>
      <x:c r="F17" s="12" t="str">
        <x:v>proposed_requires_review</x:v>
      </x:c>
      <x:c r="G17" s="12" t="str">
        <x:v>2015_par_4_5_6.md | rapport_union_pieces_par14-17_2015.md | union_exhaustive_pieces_paragraphes_4-5-6.xlsx</x:v>
      </x:c>
    </x:row>
    <x:row r="18">
      <x:c r="A18" s="12" t="str">
        <x:v>ChatMessages id=111 à 146</x:v>
      </x:c>
      <x:c r="B18" s="12" t="str">
        <x:v>ChatMessage</x:v>
      </x:c>
      <x:c r="C18" s="12" t="n">
        <x:v>125</x:v>
      </x:c>
      <x:c r="D18" s="12" t="str">
        <x:v>ChatMessage:125</x:v>
      </x:c>
      <x:c r="E18" s="12" t="str">
        <x:v>not_in_union_audit</x:v>
      </x:c>
      <x:c r="F18" s="12" t="str">
        <x:v>proposed_requires_review</x:v>
      </x:c>
      <x:c r="G18" s="12" t="str">
        <x:v>2015_par_4_5_6.md | rapport_union_pieces_par14-17_2015.md | union_exhaustive_pieces_paragraphes_4-5-6.xlsx</x:v>
      </x:c>
    </x:row>
    <x:row r="19">
      <x:c r="A19" s="12" t="str">
        <x:v>ChatMessages id=111 à 146</x:v>
      </x:c>
      <x:c r="B19" s="12" t="str">
        <x:v>ChatMessage</x:v>
      </x:c>
      <x:c r="C19" s="12" t="n">
        <x:v>126</x:v>
      </x:c>
      <x:c r="D19" s="12" t="str">
        <x:v>ChatMessage:126</x:v>
      </x:c>
      <x:c r="E19" s="12" t="str">
        <x:v>found</x:v>
      </x:c>
      <x:c r="F19" s="12" t="str">
        <x:v>proposed_requires_review</x:v>
      </x:c>
      <x:c r="G19" s="12" t="str">
        <x:v>2015_par_4_5_6.md | rapport_union_pieces_par14-17_2015.md | union_exhaustive_pieces_paragraphes_4-5-6.xlsx</x:v>
      </x:c>
    </x:row>
    <x:row r="20">
      <x:c r="A20" s="12" t="str">
        <x:v>ChatMessages id=111 à 146</x:v>
      </x:c>
      <x:c r="B20" s="12" t="str">
        <x:v>ChatMessage</x:v>
      </x:c>
      <x:c r="C20" s="12" t="n">
        <x:v>127</x:v>
      </x:c>
      <x:c r="D20" s="12" t="str">
        <x:v>ChatMessage:127</x:v>
      </x:c>
      <x:c r="E20" s="12" t="str">
        <x:v>found</x:v>
      </x:c>
      <x:c r="F20" s="12" t="str">
        <x:v>proposed_requires_review</x:v>
      </x:c>
      <x:c r="G20" s="12" t="str">
        <x:v>2015_par_4_5_6.md | rapport_union_pieces_par14-17_2015.md | union_exhaustive_pieces_paragraphes_4-5-6.xlsx</x:v>
      </x:c>
    </x:row>
    <x:row r="21">
      <x:c r="A21" s="12" t="str">
        <x:v>ChatMessages id=111 à 146</x:v>
      </x:c>
      <x:c r="B21" s="12" t="str">
        <x:v>ChatMessage</x:v>
      </x:c>
      <x:c r="C21" s="12" t="n">
        <x:v>128</x:v>
      </x:c>
      <x:c r="D21" s="12" t="str">
        <x:v>ChatMessage:128</x:v>
      </x:c>
      <x:c r="E21" s="12" t="str">
        <x:v>not_in_union_audit</x:v>
      </x:c>
      <x:c r="F21" s="12" t="str">
        <x:v>proposed_requires_review</x:v>
      </x:c>
      <x:c r="G21" s="12" t="str">
        <x:v>2015_par_4_5_6.md | rapport_union_pieces_par14-17_2015.md | union_exhaustive_pieces_paragraphes_4-5-6.xlsx</x:v>
      </x:c>
    </x:row>
    <x:row r="22">
      <x:c r="A22" s="12" t="str">
        <x:v>ChatMessages id=111 à 146</x:v>
      </x:c>
      <x:c r="B22" s="12" t="str">
        <x:v>ChatMessage</x:v>
      </x:c>
      <x:c r="C22" s="12" t="n">
        <x:v>129</x:v>
      </x:c>
      <x:c r="D22" s="12" t="str">
        <x:v>ChatMessage:129</x:v>
      </x:c>
      <x:c r="E22" s="12" t="str">
        <x:v>found</x:v>
      </x:c>
      <x:c r="F22" s="12" t="str">
        <x:v>proposed_requires_review</x:v>
      </x:c>
      <x:c r="G22" s="12" t="str">
        <x:v>2015_par_4_5_6.md | rapport_union_pieces_par14-17_2015.md | union_exhaustive_pieces_paragraphes_4-5-6.xlsx</x:v>
      </x:c>
    </x:row>
    <x:row r="23">
      <x:c r="A23" s="12" t="str">
        <x:v>ChatMessages id=111 à 146</x:v>
      </x:c>
      <x:c r="B23" s="12" t="str">
        <x:v>ChatMessage</x:v>
      </x:c>
      <x:c r="C23" s="12" t="n">
        <x:v>130</x:v>
      </x:c>
      <x:c r="D23" s="12" t="str">
        <x:v>ChatMessage:130</x:v>
      </x:c>
      <x:c r="E23" s="12" t="str">
        <x:v>not_in_union_audit</x:v>
      </x:c>
      <x:c r="F23" s="12" t="str">
        <x:v>proposed_requires_review</x:v>
      </x:c>
      <x:c r="G23" s="12" t="str">
        <x:v>2015_par_4_5_6.md | rapport_union_pieces_par14-17_2015.md | union_exhaustive_pieces_paragraphes_4-5-6.xlsx</x:v>
      </x:c>
    </x:row>
    <x:row r="24">
      <x:c r="A24" s="12" t="str">
        <x:v>ChatMessages id=111 à 146</x:v>
      </x:c>
      <x:c r="B24" s="12" t="str">
        <x:v>ChatMessage</x:v>
      </x:c>
      <x:c r="C24" s="12" t="n">
        <x:v>131</x:v>
      </x:c>
      <x:c r="D24" s="12" t="str">
        <x:v>ChatMessage:131</x:v>
      </x:c>
      <x:c r="E24" s="12" t="str">
        <x:v>found</x:v>
      </x:c>
      <x:c r="F24" s="12" t="str">
        <x:v>proposed_requires_review</x:v>
      </x:c>
      <x:c r="G24" s="12" t="str">
        <x:v>2015_par_4_5_6.md | rapport_union_pieces_par14-17_2015.md | union_exhaustive_pieces_paragraphes_4-5-6.xlsx</x:v>
      </x:c>
    </x:row>
    <x:row r="25">
      <x:c r="A25" s="12" t="str">
        <x:v>ChatMessages id=111 à 146</x:v>
      </x:c>
      <x:c r="B25" s="12" t="str">
        <x:v>ChatMessage</x:v>
      </x:c>
      <x:c r="C25" s="12" t="n">
        <x:v>132</x:v>
      </x:c>
      <x:c r="D25" s="12" t="str">
        <x:v>ChatMessage:132</x:v>
      </x:c>
      <x:c r="E25" s="12" t="str">
        <x:v>not_in_union_audit</x:v>
      </x:c>
      <x:c r="F25" s="12" t="str">
        <x:v>proposed_requires_review</x:v>
      </x:c>
      <x:c r="G25" s="12" t="str">
        <x:v>2015_par_4_5_6.md | rapport_union_pieces_par14-17_2015.md | union_exhaustive_pieces_paragraphes_4-5-6.xlsx</x:v>
      </x:c>
    </x:row>
    <x:row r="26">
      <x:c r="A26" s="12" t="str">
        <x:v>ChatMessages id=111 à 146</x:v>
      </x:c>
      <x:c r="B26" s="12" t="str">
        <x:v>ChatMessage</x:v>
      </x:c>
      <x:c r="C26" s="12" t="n">
        <x:v>133</x:v>
      </x:c>
      <x:c r="D26" s="12" t="str">
        <x:v>ChatMessage:133</x:v>
      </x:c>
      <x:c r="E26" s="12" t="str">
        <x:v>found</x:v>
      </x:c>
      <x:c r="F26" s="12" t="str">
        <x:v>proposed_requires_review</x:v>
      </x:c>
      <x:c r="G26" s="12" t="str">
        <x:v>2015_par_4_5_6.md | rapport_union_pieces_par14-17_2015.md | union_exhaustive_pieces_paragraphes_4-5-6.xlsx</x:v>
      </x:c>
    </x:row>
    <x:row r="27">
      <x:c r="A27" s="12" t="str">
        <x:v>ChatMessages id=111 à 146</x:v>
      </x:c>
      <x:c r="B27" s="12" t="str">
        <x:v>ChatMessage</x:v>
      </x:c>
      <x:c r="C27" s="12" t="n">
        <x:v>134</x:v>
      </x:c>
      <x:c r="D27" s="12" t="str">
        <x:v>ChatMessage:134</x:v>
      </x:c>
      <x:c r="E27" s="12" t="str">
        <x:v>not_in_union_audit</x:v>
      </x:c>
      <x:c r="F27" s="12" t="str">
        <x:v>proposed_requires_review</x:v>
      </x:c>
      <x:c r="G27" s="12" t="str">
        <x:v>2015_par_4_5_6.md | rapport_union_pieces_par14-17_2015.md | union_exhaustive_pieces_paragraphes_4-5-6.xlsx</x:v>
      </x:c>
    </x:row>
    <x:row r="28">
      <x:c r="A28" s="12" t="str">
        <x:v>ChatMessages id=111 à 146</x:v>
      </x:c>
      <x:c r="B28" s="12" t="str">
        <x:v>ChatMessage</x:v>
      </x:c>
      <x:c r="C28" s="12" t="n">
        <x:v>135</x:v>
      </x:c>
      <x:c r="D28" s="12" t="str">
        <x:v>ChatMessage:135</x:v>
      </x:c>
      <x:c r="E28" s="12" t="str">
        <x:v>not_in_union_audit</x:v>
      </x:c>
      <x:c r="F28" s="12" t="str">
        <x:v>proposed_requires_review</x:v>
      </x:c>
      <x:c r="G28" s="12" t="str">
        <x:v>2015_par_4_5_6.md | rapport_union_pieces_par14-17_2015.md | union_exhaustive_pieces_paragraphes_4-5-6.xlsx</x:v>
      </x:c>
    </x:row>
    <x:row r="29">
      <x:c r="A29" s="12" t="str">
        <x:v>ChatMessages id=111 à 146</x:v>
      </x:c>
      <x:c r="B29" s="12" t="str">
        <x:v>ChatMessage</x:v>
      </x:c>
      <x:c r="C29" s="12" t="n">
        <x:v>136</x:v>
      </x:c>
      <x:c r="D29" s="12" t="str">
        <x:v>ChatMessage:136</x:v>
      </x:c>
      <x:c r="E29" s="12" t="str">
        <x:v>not_in_union_audit</x:v>
      </x:c>
      <x:c r="F29" s="12" t="str">
        <x:v>proposed_requires_review</x:v>
      </x:c>
      <x:c r="G29" s="12" t="str">
        <x:v>2015_par_4_5_6.md | rapport_union_pieces_par14-17_2015.md | union_exhaustive_pieces_paragraphes_4-5-6.xlsx</x:v>
      </x:c>
    </x:row>
    <x:row r="30">
      <x:c r="A30" s="12" t="str">
        <x:v>ChatMessages id=111 à 146</x:v>
      </x:c>
      <x:c r="B30" s="12" t="str">
        <x:v>ChatMessage</x:v>
      </x:c>
      <x:c r="C30" s="12" t="n">
        <x:v>137</x:v>
      </x:c>
      <x:c r="D30" s="12" t="str">
        <x:v>ChatMessage:137</x:v>
      </x:c>
      <x:c r="E30" s="12" t="str">
        <x:v>not_in_union_audit</x:v>
      </x:c>
      <x:c r="F30" s="12" t="str">
        <x:v>proposed_requires_review</x:v>
      </x:c>
      <x:c r="G30" s="12" t="str">
        <x:v>2015_par_4_5_6.md | rapport_union_pieces_par14-17_2015.md | union_exhaustive_pieces_paragraphes_4-5-6.xlsx</x:v>
      </x:c>
    </x:row>
    <x:row r="31">
      <x:c r="A31" s="12" t="str">
        <x:v>ChatMessages id=111 à 146</x:v>
      </x:c>
      <x:c r="B31" s="12" t="str">
        <x:v>ChatMessage</x:v>
      </x:c>
      <x:c r="C31" s="12" t="n">
        <x:v>138</x:v>
      </x:c>
      <x:c r="D31" s="12" t="str">
        <x:v>ChatMessage:138</x:v>
      </x:c>
      <x:c r="E31" s="12" t="str">
        <x:v>found</x:v>
      </x:c>
      <x:c r="F31" s="12" t="str">
        <x:v>proposed_requires_review</x:v>
      </x:c>
      <x:c r="G31" s="12" t="str">
        <x:v>2015_par_4_5_6.md | rapport_union_pieces_par14-17_2015.md | union_exhaustive_pieces_paragraphes_4-5-6.xlsx</x:v>
      </x:c>
    </x:row>
    <x:row r="32">
      <x:c r="A32" s="12" t="str">
        <x:v>ChatMessages id=111 à 146</x:v>
      </x:c>
      <x:c r="B32" s="12" t="str">
        <x:v>ChatMessage</x:v>
      </x:c>
      <x:c r="C32" s="12" t="n">
        <x:v>139</x:v>
      </x:c>
      <x:c r="D32" s="12" t="str">
        <x:v>ChatMessage:139</x:v>
      </x:c>
      <x:c r="E32" s="12" t="str">
        <x:v>not_in_union_audit</x:v>
      </x:c>
      <x:c r="F32" s="12" t="str">
        <x:v>proposed_requires_review</x:v>
      </x:c>
      <x:c r="G32" s="12" t="str">
        <x:v>2015_par_4_5_6.md | rapport_union_pieces_par14-17_2015.md | union_exhaustive_pieces_paragraphes_4-5-6.xlsx</x:v>
      </x:c>
    </x:row>
    <x:row r="33">
      <x:c r="A33" s="12" t="str">
        <x:v>ChatMessages id=111 à 146</x:v>
      </x:c>
      <x:c r="B33" s="12" t="str">
        <x:v>ChatMessage</x:v>
      </x:c>
      <x:c r="C33" s="12" t="n">
        <x:v>140</x:v>
      </x:c>
      <x:c r="D33" s="12" t="str">
        <x:v>ChatMessage:140</x:v>
      </x:c>
      <x:c r="E33" s="12" t="str">
        <x:v>not_in_union_audit</x:v>
      </x:c>
      <x:c r="F33" s="12" t="str">
        <x:v>proposed_requires_review</x:v>
      </x:c>
      <x:c r="G33" s="12" t="str">
        <x:v>2015_par_4_5_6.md | rapport_union_pieces_par14-17_2015.md | union_exhaustive_pieces_paragraphes_4-5-6.xlsx</x:v>
      </x:c>
    </x:row>
    <x:row r="34">
      <x:c r="A34" s="12" t="str">
        <x:v>ChatMessages id=111 à 146</x:v>
      </x:c>
      <x:c r="B34" s="12" t="str">
        <x:v>ChatMessage</x:v>
      </x:c>
      <x:c r="C34" s="12" t="n">
        <x:v>141</x:v>
      </x:c>
      <x:c r="D34" s="12" t="str">
        <x:v>ChatMessage:141</x:v>
      </x:c>
      <x:c r="E34" s="12" t="str">
        <x:v>not_in_union_audit</x:v>
      </x:c>
      <x:c r="F34" s="12" t="str">
        <x:v>proposed_requires_review</x:v>
      </x:c>
      <x:c r="G34" s="12" t="str">
        <x:v>2015_par_4_5_6.md | rapport_union_pieces_par14-17_2015.md | union_exhaustive_pieces_paragraphes_4-5-6.xlsx</x:v>
      </x:c>
    </x:row>
    <x:row r="35">
      <x:c r="A35" s="12" t="str">
        <x:v>ChatMessages id=111 à 146</x:v>
      </x:c>
      <x:c r="B35" s="12" t="str">
        <x:v>ChatMessage</x:v>
      </x:c>
      <x:c r="C35" s="12" t="n">
        <x:v>142</x:v>
      </x:c>
      <x:c r="D35" s="12" t="str">
        <x:v>ChatMessage:142</x:v>
      </x:c>
      <x:c r="E35" s="12" t="str">
        <x:v>found</x:v>
      </x:c>
      <x:c r="F35" s="12" t="str">
        <x:v>proposed_requires_review</x:v>
      </x:c>
      <x:c r="G35" s="12" t="str">
        <x:v>2015_par_4_5_6.md | rapport_union_pieces_par14-17_2015.md | union_exhaustive_pieces_paragraphes_4-5-6.xlsx</x:v>
      </x:c>
    </x:row>
    <x:row r="36">
      <x:c r="A36" s="12" t="str">
        <x:v>ChatMessages id=111 à 146</x:v>
      </x:c>
      <x:c r="B36" s="12" t="str">
        <x:v>ChatMessage</x:v>
      </x:c>
      <x:c r="C36" s="12" t="n">
        <x:v>143</x:v>
      </x:c>
      <x:c r="D36" s="12" t="str">
        <x:v>ChatMessage:143</x:v>
      </x:c>
      <x:c r="E36" s="12" t="str">
        <x:v>found</x:v>
      </x:c>
      <x:c r="F36" s="12" t="str">
        <x:v>proposed_requires_review</x:v>
      </x:c>
      <x:c r="G36" s="12" t="str">
        <x:v>2015_par_4_5_6.md | rapport_union_pieces_par14-17_2015.md | union_exhaustive_pieces_paragraphes_4-5-6.xlsx</x:v>
      </x:c>
    </x:row>
    <x:row r="37">
      <x:c r="A37" s="12" t="str">
        <x:v>ChatMessages id=111 à 146</x:v>
      </x:c>
      <x:c r="B37" s="12" t="str">
        <x:v>ChatMessage</x:v>
      </x:c>
      <x:c r="C37" s="12" t="n">
        <x:v>144</x:v>
      </x:c>
      <x:c r="D37" s="12" t="str">
        <x:v>ChatMessage:144</x:v>
      </x:c>
      <x:c r="E37" s="12" t="str">
        <x:v>not_in_union_audit</x:v>
      </x:c>
      <x:c r="F37" s="12" t="str">
        <x:v>proposed_requires_review</x:v>
      </x:c>
      <x:c r="G37" s="12" t="str">
        <x:v>2015_par_4_5_6.md | rapport_union_pieces_par14-17_2015.md | union_exhaustive_pieces_paragraphes_4-5-6.xlsx</x:v>
      </x:c>
    </x:row>
    <x:row r="38">
      <x:c r="A38" s="12" t="str">
        <x:v>ChatMessages id=111 à 146</x:v>
      </x:c>
      <x:c r="B38" s="12" t="str">
        <x:v>ChatMessage</x:v>
      </x:c>
      <x:c r="C38" s="12" t="n">
        <x:v>145</x:v>
      </x:c>
      <x:c r="D38" s="12" t="str">
        <x:v>ChatMessage:145</x:v>
      </x:c>
      <x:c r="E38" s="12" t="str">
        <x:v>found</x:v>
      </x:c>
      <x:c r="F38" s="12" t="str">
        <x:v>proposed_requires_review</x:v>
      </x:c>
      <x:c r="G38" s="12" t="str">
        <x:v>2015_par_4_5_6.md | rapport_union_pieces_par14-17_2015.md | union_exhaustive_pieces_paragraphes_4-5-6.xlsx</x:v>
      </x:c>
    </x:row>
    <x:row r="39">
      <x:c r="A39" s="12" t="str">
        <x:v>ChatMessages id=111 à 146</x:v>
      </x:c>
      <x:c r="B39" s="12" t="str">
        <x:v>ChatMessage</x:v>
      </x:c>
      <x:c r="C39" s="12" t="n">
        <x:v>146</x:v>
      </x:c>
      <x:c r="D39" s="12" t="str">
        <x:v>ChatMessage:146</x:v>
      </x:c>
      <x:c r="E39" s="12" t="str">
        <x:v>found</x:v>
      </x:c>
      <x:c r="F39" s="12" t="str">
        <x:v>proposed_requires_review</x:v>
      </x:c>
      <x:c r="G39" s="12" t="str">
        <x:v>2015_par_4_5_6.md | rapport_union_pieces_par14-17_2015.md | union_exhaustive_pieces_paragraphes_4-5-6.xlsx</x:v>
      </x:c>
    </x:row>
    <x:row r="40">
      <x:c r="A40" s="12" t="str">
        <x:v>ChatMessages id=111 à 311</x:v>
      </x:c>
      <x:c r="B40" s="12" t="str">
        <x:v>ChatMessage</x:v>
      </x:c>
      <x:c r="C40" s="12" t="str"/>
      <x:c r="D40" s="12" t="str"/>
      <x:c r="E40" s="12" t="str">
        <x:v>not_expanded</x:v>
      </x:c>
      <x:c r="F40" s="12" t="str">
        <x:v>range_too_large_or_invalid</x:v>
      </x:c>
      <x:c r="G40" s="12" t="str">
        <x:v>2015_par_4_5_6.md | union_exhaustive_pieces_paragraphes_4-5-6.xlsx</x:v>
      </x:c>
    </x:row>
    <x:row r="41">
      <x:c r="A41" s="12" t="str">
        <x:v>ChatMessages id=111-146</x:v>
      </x:c>
      <x:c r="B41" s="12" t="str">
        <x:v>ChatMessage</x:v>
      </x:c>
      <x:c r="C41" s="12" t="n">
        <x:v>111</x:v>
      </x:c>
      <x:c r="D41" s="12" t="str">
        <x:v>ChatMessage:111</x:v>
      </x:c>
      <x:c r="E41" s="12" t="str">
        <x:v>found</x:v>
      </x:c>
      <x:c r="F41" s="12" t="str">
        <x:v>proposed_requires_review</x:v>
      </x:c>
      <x:c r="G41" s="12" t="str">
        <x:v>union_exhaustive_pieces_paragraphes_4-5-6.xlsx</x:v>
      </x:c>
    </x:row>
    <x:row r="42">
      <x:c r="A42" s="12" t="str">
        <x:v>ChatMessages id=111-146</x:v>
      </x:c>
      <x:c r="B42" s="12" t="str">
        <x:v>ChatMessage</x:v>
      </x:c>
      <x:c r="C42" s="12" t="n">
        <x:v>112</x:v>
      </x:c>
      <x:c r="D42" s="12" t="str">
        <x:v>ChatMessage:112</x:v>
      </x:c>
      <x:c r="E42" s="12" t="str">
        <x:v>not_in_union_audit</x:v>
      </x:c>
      <x:c r="F42" s="12" t="str">
        <x:v>proposed_requires_review</x:v>
      </x:c>
      <x:c r="G42" s="12" t="str">
        <x:v>union_exhaustive_pieces_paragraphes_4-5-6.xlsx</x:v>
      </x:c>
    </x:row>
    <x:row r="43">
      <x:c r="A43" s="12" t="str">
        <x:v>ChatMessages id=111-146</x:v>
      </x:c>
      <x:c r="B43" s="12" t="str">
        <x:v>ChatMessage</x:v>
      </x:c>
      <x:c r="C43" s="12" t="n">
        <x:v>113</x:v>
      </x:c>
      <x:c r="D43" s="12" t="str">
        <x:v>ChatMessage:113</x:v>
      </x:c>
      <x:c r="E43" s="12" t="str">
        <x:v>not_in_union_audit</x:v>
      </x:c>
      <x:c r="F43" s="12" t="str">
        <x:v>proposed_requires_review</x:v>
      </x:c>
      <x:c r="G43" s="12" t="str">
        <x:v>union_exhaustive_pieces_paragraphes_4-5-6.xlsx</x:v>
      </x:c>
    </x:row>
    <x:row r="44">
      <x:c r="A44" s="12" t="str">
        <x:v>ChatMessages id=111-146</x:v>
      </x:c>
      <x:c r="B44" s="12" t="str">
        <x:v>ChatMessage</x:v>
      </x:c>
      <x:c r="C44" s="12" t="n">
        <x:v>114</x:v>
      </x:c>
      <x:c r="D44" s="12" t="str">
        <x:v>ChatMessage:114</x:v>
      </x:c>
      <x:c r="E44" s="12" t="str">
        <x:v>not_in_union_audit</x:v>
      </x:c>
      <x:c r="F44" s="12" t="str">
        <x:v>proposed_requires_review</x:v>
      </x:c>
      <x:c r="G44" s="12" t="str">
        <x:v>union_exhaustive_pieces_paragraphes_4-5-6.xlsx</x:v>
      </x:c>
    </x:row>
    <x:row r="45">
      <x:c r="A45" s="12" t="str">
        <x:v>ChatMessages id=111-146</x:v>
      </x:c>
      <x:c r="B45" s="12" t="str">
        <x:v>ChatMessage</x:v>
      </x:c>
      <x:c r="C45" s="12" t="n">
        <x:v>115</x:v>
      </x:c>
      <x:c r="D45" s="12" t="str">
        <x:v>ChatMessage:115</x:v>
      </x:c>
      <x:c r="E45" s="12" t="str">
        <x:v>not_in_union_audit</x:v>
      </x:c>
      <x:c r="F45" s="12" t="str">
        <x:v>proposed_requires_review</x:v>
      </x:c>
      <x:c r="G45" s="12" t="str">
        <x:v>union_exhaustive_pieces_paragraphes_4-5-6.xlsx</x:v>
      </x:c>
    </x:row>
    <x:row r="46">
      <x:c r="A46" s="12" t="str">
        <x:v>ChatMessages id=111-146</x:v>
      </x:c>
      <x:c r="B46" s="12" t="str">
        <x:v>ChatMessage</x:v>
      </x:c>
      <x:c r="C46" s="12" t="n">
        <x:v>116</x:v>
      </x:c>
      <x:c r="D46" s="12" t="str">
        <x:v>ChatMessage:116</x:v>
      </x:c>
      <x:c r="E46" s="12" t="str">
        <x:v>not_in_union_audit</x:v>
      </x:c>
      <x:c r="F46" s="12" t="str">
        <x:v>proposed_requires_review</x:v>
      </x:c>
      <x:c r="G46" s="12" t="str">
        <x:v>union_exhaustive_pieces_paragraphes_4-5-6.xlsx</x:v>
      </x:c>
    </x:row>
    <x:row r="47">
      <x:c r="A47" s="12" t="str">
        <x:v>ChatMessages id=111-146</x:v>
      </x:c>
      <x:c r="B47" s="12" t="str">
        <x:v>ChatMessage</x:v>
      </x:c>
      <x:c r="C47" s="12" t="n">
        <x:v>117</x:v>
      </x:c>
      <x:c r="D47" s="12" t="str">
        <x:v>ChatMessage:117</x:v>
      </x:c>
      <x:c r="E47" s="12" t="str">
        <x:v>not_in_union_audit</x:v>
      </x:c>
      <x:c r="F47" s="12" t="str">
        <x:v>proposed_requires_review</x:v>
      </x:c>
      <x:c r="G47" s="12" t="str">
        <x:v>union_exhaustive_pieces_paragraphes_4-5-6.xlsx</x:v>
      </x:c>
    </x:row>
    <x:row r="48">
      <x:c r="A48" s="12" t="str">
        <x:v>ChatMessages id=111-146</x:v>
      </x:c>
      <x:c r="B48" s="12" t="str">
        <x:v>ChatMessage</x:v>
      </x:c>
      <x:c r="C48" s="12" t="n">
        <x:v>118</x:v>
      </x:c>
      <x:c r="D48" s="12" t="str">
        <x:v>ChatMessage:118</x:v>
      </x:c>
      <x:c r="E48" s="12" t="str">
        <x:v>not_in_union_audit</x:v>
      </x:c>
      <x:c r="F48" s="12" t="str">
        <x:v>proposed_requires_review</x:v>
      </x:c>
      <x:c r="G48" s="12" t="str">
        <x:v>union_exhaustive_pieces_paragraphes_4-5-6.xlsx</x:v>
      </x:c>
    </x:row>
    <x:row r="49">
      <x:c r="A49" s="12" t="str">
        <x:v>ChatMessages id=111-146</x:v>
      </x:c>
      <x:c r="B49" s="12" t="str">
        <x:v>ChatMessage</x:v>
      </x:c>
      <x:c r="C49" s="12" t="n">
        <x:v>119</x:v>
      </x:c>
      <x:c r="D49" s="12" t="str">
        <x:v>ChatMessage:119</x:v>
      </x:c>
      <x:c r="E49" s="12" t="str">
        <x:v>not_in_union_audit</x:v>
      </x:c>
      <x:c r="F49" s="12" t="str">
        <x:v>proposed_requires_review</x:v>
      </x:c>
      <x:c r="G49" s="12" t="str">
        <x:v>union_exhaustive_pieces_paragraphes_4-5-6.xlsx</x:v>
      </x:c>
    </x:row>
    <x:row r="50">
      <x:c r="A50" s="12" t="str">
        <x:v>ChatMessages id=111-146</x:v>
      </x:c>
      <x:c r="B50" s="12" t="str">
        <x:v>ChatMessage</x:v>
      </x:c>
      <x:c r="C50" s="12" t="n">
        <x:v>120</x:v>
      </x:c>
      <x:c r="D50" s="12" t="str">
        <x:v>ChatMessage:120</x:v>
      </x:c>
      <x:c r="E50" s="12" t="str">
        <x:v>not_in_union_audit</x:v>
      </x:c>
      <x:c r="F50" s="12" t="str">
        <x:v>proposed_requires_review</x:v>
      </x:c>
      <x:c r="G50" s="12" t="str">
        <x:v>union_exhaustive_pieces_paragraphes_4-5-6.xlsx</x:v>
      </x:c>
    </x:row>
    <x:row r="51">
      <x:c r="A51" s="12" t="str">
        <x:v>ChatMessages id=111-146</x:v>
      </x:c>
      <x:c r="B51" s="12" t="str">
        <x:v>ChatMessage</x:v>
      </x:c>
      <x:c r="C51" s="12" t="n">
        <x:v>121</x:v>
      </x:c>
      <x:c r="D51" s="12" t="str">
        <x:v>ChatMessage:121</x:v>
      </x:c>
      <x:c r="E51" s="12" t="str">
        <x:v>not_in_union_audit</x:v>
      </x:c>
      <x:c r="F51" s="12" t="str">
        <x:v>proposed_requires_review</x:v>
      </x:c>
      <x:c r="G51" s="12" t="str">
        <x:v>union_exhaustive_pieces_paragraphes_4-5-6.xlsx</x:v>
      </x:c>
    </x:row>
    <x:row r="52">
      <x:c r="A52" s="12" t="str">
        <x:v>ChatMessages id=111-146</x:v>
      </x:c>
      <x:c r="B52" s="12" t="str">
        <x:v>ChatMessage</x:v>
      </x:c>
      <x:c r="C52" s="12" t="n">
        <x:v>122</x:v>
      </x:c>
      <x:c r="D52" s="12" t="str">
        <x:v>ChatMessage:122</x:v>
      </x:c>
      <x:c r="E52" s="12" t="str">
        <x:v>not_in_union_audit</x:v>
      </x:c>
      <x:c r="F52" s="12" t="str">
        <x:v>proposed_requires_review</x:v>
      </x:c>
      <x:c r="G52" s="12" t="str">
        <x:v>union_exhaustive_pieces_paragraphes_4-5-6.xlsx</x:v>
      </x:c>
    </x:row>
    <x:row r="53">
      <x:c r="A53" s="12" t="str">
        <x:v>ChatMessages id=111-146</x:v>
      </x:c>
      <x:c r="B53" s="12" t="str">
        <x:v>ChatMessage</x:v>
      </x:c>
      <x:c r="C53" s="12" t="n">
        <x:v>123</x:v>
      </x:c>
      <x:c r="D53" s="12" t="str">
        <x:v>ChatMessage:123</x:v>
      </x:c>
      <x:c r="E53" s="12" t="str">
        <x:v>not_in_union_audit</x:v>
      </x:c>
      <x:c r="F53" s="12" t="str">
        <x:v>proposed_requires_review</x:v>
      </x:c>
      <x:c r="G53" s="12" t="str">
        <x:v>union_exhaustive_pieces_paragraphes_4-5-6.xlsx</x:v>
      </x:c>
    </x:row>
    <x:row r="54">
      <x:c r="A54" s="12" t="str">
        <x:v>ChatMessages id=111-146</x:v>
      </x:c>
      <x:c r="B54" s="12" t="str">
        <x:v>ChatMessage</x:v>
      </x:c>
      <x:c r="C54" s="12" t="n">
        <x:v>124</x:v>
      </x:c>
      <x:c r="D54" s="12" t="str">
        <x:v>ChatMessage:124</x:v>
      </x:c>
      <x:c r="E54" s="12" t="str">
        <x:v>not_in_union_audit</x:v>
      </x:c>
      <x:c r="F54" s="12" t="str">
        <x:v>proposed_requires_review</x:v>
      </x:c>
      <x:c r="G54" s="12" t="str">
        <x:v>union_exhaustive_pieces_paragraphes_4-5-6.xlsx</x:v>
      </x:c>
    </x:row>
    <x:row r="55">
      <x:c r="A55" s="12" t="str">
        <x:v>ChatMessages id=111-146</x:v>
      </x:c>
      <x:c r="B55" s="12" t="str">
        <x:v>ChatMessage</x:v>
      </x:c>
      <x:c r="C55" s="12" t="n">
        <x:v>125</x:v>
      </x:c>
      <x:c r="D55" s="12" t="str">
        <x:v>ChatMessage:125</x:v>
      </x:c>
      <x:c r="E55" s="12" t="str">
        <x:v>not_in_union_audit</x:v>
      </x:c>
      <x:c r="F55" s="12" t="str">
        <x:v>proposed_requires_review</x:v>
      </x:c>
      <x:c r="G55" s="12" t="str">
        <x:v>union_exhaustive_pieces_paragraphes_4-5-6.xlsx</x:v>
      </x:c>
    </x:row>
    <x:row r="56">
      <x:c r="A56" s="12" t="str">
        <x:v>ChatMessages id=111-146</x:v>
      </x:c>
      <x:c r="B56" s="12" t="str">
        <x:v>ChatMessage</x:v>
      </x:c>
      <x:c r="C56" s="12" t="n">
        <x:v>126</x:v>
      </x:c>
      <x:c r="D56" s="12" t="str">
        <x:v>ChatMessage:126</x:v>
      </x:c>
      <x:c r="E56" s="12" t="str">
        <x:v>found</x:v>
      </x:c>
      <x:c r="F56" s="12" t="str">
        <x:v>proposed_requires_review</x:v>
      </x:c>
      <x:c r="G56" s="12" t="str">
        <x:v>union_exhaustive_pieces_paragraphes_4-5-6.xlsx</x:v>
      </x:c>
    </x:row>
    <x:row r="57">
      <x:c r="A57" s="12" t="str">
        <x:v>ChatMessages id=111-146</x:v>
      </x:c>
      <x:c r="B57" s="12" t="str">
        <x:v>ChatMessage</x:v>
      </x:c>
      <x:c r="C57" s="12" t="n">
        <x:v>127</x:v>
      </x:c>
      <x:c r="D57" s="12" t="str">
        <x:v>ChatMessage:127</x:v>
      </x:c>
      <x:c r="E57" s="12" t="str">
        <x:v>found</x:v>
      </x:c>
      <x:c r="F57" s="12" t="str">
        <x:v>proposed_requires_review</x:v>
      </x:c>
      <x:c r="G57" s="12" t="str">
        <x:v>union_exhaustive_pieces_paragraphes_4-5-6.xlsx</x:v>
      </x:c>
    </x:row>
    <x:row r="58">
      <x:c r="A58" s="12" t="str">
        <x:v>ChatMessages id=111-146</x:v>
      </x:c>
      <x:c r="B58" s="12" t="str">
        <x:v>ChatMessage</x:v>
      </x:c>
      <x:c r="C58" s="12" t="n">
        <x:v>128</x:v>
      </x:c>
      <x:c r="D58" s="12" t="str">
        <x:v>ChatMessage:128</x:v>
      </x:c>
      <x:c r="E58" s="12" t="str">
        <x:v>not_in_union_audit</x:v>
      </x:c>
      <x:c r="F58" s="12" t="str">
        <x:v>proposed_requires_review</x:v>
      </x:c>
      <x:c r="G58" s="12" t="str">
        <x:v>union_exhaustive_pieces_paragraphes_4-5-6.xlsx</x:v>
      </x:c>
    </x:row>
    <x:row r="59">
      <x:c r="A59" s="12" t="str">
        <x:v>ChatMessages id=111-146</x:v>
      </x:c>
      <x:c r="B59" s="12" t="str">
        <x:v>ChatMessage</x:v>
      </x:c>
      <x:c r="C59" s="12" t="n">
        <x:v>129</x:v>
      </x:c>
      <x:c r="D59" s="12" t="str">
        <x:v>ChatMessage:129</x:v>
      </x:c>
      <x:c r="E59" s="12" t="str">
        <x:v>found</x:v>
      </x:c>
      <x:c r="F59" s="12" t="str">
        <x:v>proposed_requires_review</x:v>
      </x:c>
      <x:c r="G59" s="12" t="str">
        <x:v>union_exhaustive_pieces_paragraphes_4-5-6.xlsx</x:v>
      </x:c>
    </x:row>
    <x:row r="60">
      <x:c r="A60" s="12" t="str">
        <x:v>ChatMessages id=111-146</x:v>
      </x:c>
      <x:c r="B60" s="12" t="str">
        <x:v>ChatMessage</x:v>
      </x:c>
      <x:c r="C60" s="12" t="n">
        <x:v>130</x:v>
      </x:c>
      <x:c r="D60" s="12" t="str">
        <x:v>ChatMessage:130</x:v>
      </x:c>
      <x:c r="E60" s="12" t="str">
        <x:v>not_in_union_audit</x:v>
      </x:c>
      <x:c r="F60" s="12" t="str">
        <x:v>proposed_requires_review</x:v>
      </x:c>
      <x:c r="G60" s="12" t="str">
        <x:v>union_exhaustive_pieces_paragraphes_4-5-6.xlsx</x:v>
      </x:c>
    </x:row>
    <x:row r="61">
      <x:c r="A61" s="12" t="str">
        <x:v>ChatMessages id=111-146</x:v>
      </x:c>
      <x:c r="B61" s="12" t="str">
        <x:v>ChatMessage</x:v>
      </x:c>
      <x:c r="C61" s="12" t="n">
        <x:v>131</x:v>
      </x:c>
      <x:c r="D61" s="12" t="str">
        <x:v>ChatMessage:131</x:v>
      </x:c>
      <x:c r="E61" s="12" t="str">
        <x:v>found</x:v>
      </x:c>
      <x:c r="F61" s="12" t="str">
        <x:v>proposed_requires_review</x:v>
      </x:c>
      <x:c r="G61" s="12" t="str">
        <x:v>union_exhaustive_pieces_paragraphes_4-5-6.xlsx</x:v>
      </x:c>
    </x:row>
    <x:row r="62">
      <x:c r="A62" s="12" t="str">
        <x:v>ChatMessages id=111-146</x:v>
      </x:c>
      <x:c r="B62" s="12" t="str">
        <x:v>ChatMessage</x:v>
      </x:c>
      <x:c r="C62" s="12" t="n">
        <x:v>132</x:v>
      </x:c>
      <x:c r="D62" s="12" t="str">
        <x:v>ChatMessage:132</x:v>
      </x:c>
      <x:c r="E62" s="12" t="str">
        <x:v>not_in_union_audit</x:v>
      </x:c>
      <x:c r="F62" s="12" t="str">
        <x:v>proposed_requires_review</x:v>
      </x:c>
      <x:c r="G62" s="12" t="str">
        <x:v>union_exhaustive_pieces_paragraphes_4-5-6.xlsx</x:v>
      </x:c>
    </x:row>
    <x:row r="63">
      <x:c r="A63" s="12" t="str">
        <x:v>ChatMessages id=111-146</x:v>
      </x:c>
      <x:c r="B63" s="12" t="str">
        <x:v>ChatMessage</x:v>
      </x:c>
      <x:c r="C63" s="12" t="n">
        <x:v>133</x:v>
      </x:c>
      <x:c r="D63" s="12" t="str">
        <x:v>ChatMessage:133</x:v>
      </x:c>
      <x:c r="E63" s="12" t="str">
        <x:v>found</x:v>
      </x:c>
      <x:c r="F63" s="12" t="str">
        <x:v>proposed_requires_review</x:v>
      </x:c>
      <x:c r="G63" s="12" t="str">
        <x:v>union_exhaustive_pieces_paragraphes_4-5-6.xlsx</x:v>
      </x:c>
    </x:row>
    <x:row r="64">
      <x:c r="A64" s="12" t="str">
        <x:v>ChatMessages id=111-146</x:v>
      </x:c>
      <x:c r="B64" s="12" t="str">
        <x:v>ChatMessage</x:v>
      </x:c>
      <x:c r="C64" s="12" t="n">
        <x:v>134</x:v>
      </x:c>
      <x:c r="D64" s="12" t="str">
        <x:v>ChatMessage:134</x:v>
      </x:c>
      <x:c r="E64" s="12" t="str">
        <x:v>not_in_union_audit</x:v>
      </x:c>
      <x:c r="F64" s="12" t="str">
        <x:v>proposed_requires_review</x:v>
      </x:c>
      <x:c r="G64" s="12" t="str">
        <x:v>union_exhaustive_pieces_paragraphes_4-5-6.xlsx</x:v>
      </x:c>
    </x:row>
    <x:row r="65">
      <x:c r="A65" s="12" t="str">
        <x:v>ChatMessages id=111-146</x:v>
      </x:c>
      <x:c r="B65" s="12" t="str">
        <x:v>ChatMessage</x:v>
      </x:c>
      <x:c r="C65" s="12" t="n">
        <x:v>135</x:v>
      </x:c>
      <x:c r="D65" s="12" t="str">
        <x:v>ChatMessage:135</x:v>
      </x:c>
      <x:c r="E65" s="12" t="str">
        <x:v>not_in_union_audit</x:v>
      </x:c>
      <x:c r="F65" s="12" t="str">
        <x:v>proposed_requires_review</x:v>
      </x:c>
      <x:c r="G65" s="12" t="str">
        <x:v>union_exhaustive_pieces_paragraphes_4-5-6.xlsx</x:v>
      </x:c>
    </x:row>
    <x:row r="66">
      <x:c r="A66" s="12" t="str">
        <x:v>ChatMessages id=111-146</x:v>
      </x:c>
      <x:c r="B66" s="12" t="str">
        <x:v>ChatMessage</x:v>
      </x:c>
      <x:c r="C66" s="12" t="n">
        <x:v>136</x:v>
      </x:c>
      <x:c r="D66" s="12" t="str">
        <x:v>ChatMessage:136</x:v>
      </x:c>
      <x:c r="E66" s="12" t="str">
        <x:v>not_in_union_audit</x:v>
      </x:c>
      <x:c r="F66" s="12" t="str">
        <x:v>proposed_requires_review</x:v>
      </x:c>
      <x:c r="G66" s="12" t="str">
        <x:v>union_exhaustive_pieces_paragraphes_4-5-6.xlsx</x:v>
      </x:c>
    </x:row>
    <x:row r="67">
      <x:c r="A67" s="12" t="str">
        <x:v>ChatMessages id=111-146</x:v>
      </x:c>
      <x:c r="B67" s="12" t="str">
        <x:v>ChatMessage</x:v>
      </x:c>
      <x:c r="C67" s="12" t="n">
        <x:v>137</x:v>
      </x:c>
      <x:c r="D67" s="12" t="str">
        <x:v>ChatMessage:137</x:v>
      </x:c>
      <x:c r="E67" s="12" t="str">
        <x:v>not_in_union_audit</x:v>
      </x:c>
      <x:c r="F67" s="12" t="str">
        <x:v>proposed_requires_review</x:v>
      </x:c>
      <x:c r="G67" s="12" t="str">
        <x:v>union_exhaustive_pieces_paragraphes_4-5-6.xlsx</x:v>
      </x:c>
    </x:row>
    <x:row r="68">
      <x:c r="A68" s="12" t="str">
        <x:v>ChatMessages id=111-146</x:v>
      </x:c>
      <x:c r="B68" s="12" t="str">
        <x:v>ChatMessage</x:v>
      </x:c>
      <x:c r="C68" s="12" t="n">
        <x:v>138</x:v>
      </x:c>
      <x:c r="D68" s="12" t="str">
        <x:v>ChatMessage:138</x:v>
      </x:c>
      <x:c r="E68" s="12" t="str">
        <x:v>found</x:v>
      </x:c>
      <x:c r="F68" s="12" t="str">
        <x:v>proposed_requires_review</x:v>
      </x:c>
      <x:c r="G68" s="12" t="str">
        <x:v>union_exhaustive_pieces_paragraphes_4-5-6.xlsx</x:v>
      </x:c>
    </x:row>
    <x:row r="69">
      <x:c r="A69" s="12" t="str">
        <x:v>ChatMessages id=111-146</x:v>
      </x:c>
      <x:c r="B69" s="12" t="str">
        <x:v>ChatMessage</x:v>
      </x:c>
      <x:c r="C69" s="12" t="n">
        <x:v>139</x:v>
      </x:c>
      <x:c r="D69" s="12" t="str">
        <x:v>ChatMessage:139</x:v>
      </x:c>
      <x:c r="E69" s="12" t="str">
        <x:v>not_in_union_audit</x:v>
      </x:c>
      <x:c r="F69" s="12" t="str">
        <x:v>proposed_requires_review</x:v>
      </x:c>
      <x:c r="G69" s="12" t="str">
        <x:v>union_exhaustive_pieces_paragraphes_4-5-6.xlsx</x:v>
      </x:c>
    </x:row>
    <x:row r="70">
      <x:c r="A70" s="12" t="str">
        <x:v>ChatMessages id=111-146</x:v>
      </x:c>
      <x:c r="B70" s="12" t="str">
        <x:v>ChatMessage</x:v>
      </x:c>
      <x:c r="C70" s="12" t="n">
        <x:v>140</x:v>
      </x:c>
      <x:c r="D70" s="12" t="str">
        <x:v>ChatMessage:140</x:v>
      </x:c>
      <x:c r="E70" s="12" t="str">
        <x:v>not_in_union_audit</x:v>
      </x:c>
      <x:c r="F70" s="12" t="str">
        <x:v>proposed_requires_review</x:v>
      </x:c>
      <x:c r="G70" s="12" t="str">
        <x:v>union_exhaustive_pieces_paragraphes_4-5-6.xlsx</x:v>
      </x:c>
    </x:row>
    <x:row r="71">
      <x:c r="A71" s="12" t="str">
        <x:v>ChatMessages id=111-146</x:v>
      </x:c>
      <x:c r="B71" s="12" t="str">
        <x:v>ChatMessage</x:v>
      </x:c>
      <x:c r="C71" s="12" t="n">
        <x:v>141</x:v>
      </x:c>
      <x:c r="D71" s="12" t="str">
        <x:v>ChatMessage:141</x:v>
      </x:c>
      <x:c r="E71" s="12" t="str">
        <x:v>not_in_union_audit</x:v>
      </x:c>
      <x:c r="F71" s="12" t="str">
        <x:v>proposed_requires_review</x:v>
      </x:c>
      <x:c r="G71" s="12" t="str">
        <x:v>union_exhaustive_pieces_paragraphes_4-5-6.xlsx</x:v>
      </x:c>
    </x:row>
    <x:row r="72">
      <x:c r="A72" s="12" t="str">
        <x:v>ChatMessages id=111-146</x:v>
      </x:c>
      <x:c r="B72" s="12" t="str">
        <x:v>ChatMessage</x:v>
      </x:c>
      <x:c r="C72" s="12" t="n">
        <x:v>142</x:v>
      </x:c>
      <x:c r="D72" s="12" t="str">
        <x:v>ChatMessage:142</x:v>
      </x:c>
      <x:c r="E72" s="12" t="str">
        <x:v>found</x:v>
      </x:c>
      <x:c r="F72" s="12" t="str">
        <x:v>proposed_requires_review</x:v>
      </x:c>
      <x:c r="G72" s="12" t="str">
        <x:v>union_exhaustive_pieces_paragraphes_4-5-6.xlsx</x:v>
      </x:c>
    </x:row>
    <x:row r="73">
      <x:c r="A73" s="12" t="str">
        <x:v>ChatMessages id=111-146</x:v>
      </x:c>
      <x:c r="B73" s="12" t="str">
        <x:v>ChatMessage</x:v>
      </x:c>
      <x:c r="C73" s="12" t="n">
        <x:v>143</x:v>
      </x:c>
      <x:c r="D73" s="12" t="str">
        <x:v>ChatMessage:143</x:v>
      </x:c>
      <x:c r="E73" s="12" t="str">
        <x:v>found</x:v>
      </x:c>
      <x:c r="F73" s="12" t="str">
        <x:v>proposed_requires_review</x:v>
      </x:c>
      <x:c r="G73" s="12" t="str">
        <x:v>union_exhaustive_pieces_paragraphes_4-5-6.xlsx</x:v>
      </x:c>
    </x:row>
    <x:row r="74">
      <x:c r="A74" s="12" t="str">
        <x:v>ChatMessages id=111-146</x:v>
      </x:c>
      <x:c r="B74" s="12" t="str">
        <x:v>ChatMessage</x:v>
      </x:c>
      <x:c r="C74" s="12" t="n">
        <x:v>144</x:v>
      </x:c>
      <x:c r="D74" s="12" t="str">
        <x:v>ChatMessage:144</x:v>
      </x:c>
      <x:c r="E74" s="12" t="str">
        <x:v>not_in_union_audit</x:v>
      </x:c>
      <x:c r="F74" s="12" t="str">
        <x:v>proposed_requires_review</x:v>
      </x:c>
      <x:c r="G74" s="12" t="str">
        <x:v>union_exhaustive_pieces_paragraphes_4-5-6.xlsx</x:v>
      </x:c>
    </x:row>
    <x:row r="75">
      <x:c r="A75" s="12" t="str">
        <x:v>ChatMessages id=111-146</x:v>
      </x:c>
      <x:c r="B75" s="12" t="str">
        <x:v>ChatMessage</x:v>
      </x:c>
      <x:c r="C75" s="12" t="n">
        <x:v>145</x:v>
      </x:c>
      <x:c r="D75" s="12" t="str">
        <x:v>ChatMessage:145</x:v>
      </x:c>
      <x:c r="E75" s="12" t="str">
        <x:v>found</x:v>
      </x:c>
      <x:c r="F75" s="12" t="str">
        <x:v>proposed_requires_review</x:v>
      </x:c>
      <x:c r="G75" s="12" t="str">
        <x:v>union_exhaustive_pieces_paragraphes_4-5-6.xlsx</x:v>
      </x:c>
    </x:row>
    <x:row r="76">
      <x:c r="A76" s="12" t="str">
        <x:v>ChatMessages id=111-146</x:v>
      </x:c>
      <x:c r="B76" s="12" t="str">
        <x:v>ChatMessage</x:v>
      </x:c>
      <x:c r="C76" s="12" t="n">
        <x:v>146</x:v>
      </x:c>
      <x:c r="D76" s="12" t="str">
        <x:v>ChatMessage:146</x:v>
      </x:c>
      <x:c r="E76" s="12" t="str">
        <x:v>found</x:v>
      </x:c>
      <x:c r="F76" s="12" t="str">
        <x:v>proposed_requires_review</x:v>
      </x:c>
      <x:c r="G76" s="12" t="str">
        <x:v>union_exhaustive_pieces_paragraphes_4-5-6.xlsx</x:v>
      </x:c>
    </x:row>
    <x:row r="77">
      <x:c r="A77" s="12" t="str">
        <x:v>ChatMessages id=111–311</x:v>
      </x:c>
      <x:c r="B77" s="12" t="str">
        <x:v>ChatMessage</x:v>
      </x:c>
      <x:c r="C77" s="12" t="str"/>
      <x:c r="D77" s="12" t="str"/>
      <x:c r="E77" s="12" t="str">
        <x:v>not_expanded</x:v>
      </x:c>
      <x:c r="F77" s="12" t="str">
        <x:v>range_too_large_or_invalid</x:v>
      </x:c>
      <x:c r="G77" s="12" t="str">
        <x:v>2015_par_7.md | inventaire_union_paragraphe7_revise_axes.xlsx | union_exhaustive_pieces_paragraphes_4-5-6.xlsx</x:v>
      </x:c>
    </x:row>
    <x:row r="78">
      <x:c r="A78" s="12" t="str">
        <x:v>Email id=361 à 364 , 375 , 387 , 388 , 390 , 391 , 393 , 394 , 396 , 397 , 398</x:v>
      </x:c>
      <x:c r="B78" s="12" t="str">
        <x:v>Email</x:v>
      </x:c>
      <x:c r="C78" s="12" t="n">
        <x:v>361</x:v>
      </x:c>
      <x:c r="D78" s="12" t="str">
        <x:v>Email:361</x:v>
      </x:c>
      <x:c r="E78" s="12" t="str">
        <x:v>found</x:v>
      </x:c>
      <x:c r="F78" s="12" t="str">
        <x:v>proposed_requires_review</x:v>
      </x:c>
      <x:c r="G78" s="12" t="str">
        <x:v>2015_par_7.md</x:v>
      </x:c>
    </x:row>
    <x:row r="79">
      <x:c r="A79" s="12" t="str">
        <x:v>Email id=361 à 364 , 375 , 387 , 388 , 390 , 391 , 393 , 394 , 396 , 397 , 398</x:v>
      </x:c>
      <x:c r="B79" s="12" t="str">
        <x:v>Email</x:v>
      </x:c>
      <x:c r="C79" s="12" t="n">
        <x:v>362</x:v>
      </x:c>
      <x:c r="D79" s="12" t="str">
        <x:v>Email:362</x:v>
      </x:c>
      <x:c r="E79" s="12" t="str">
        <x:v>found</x:v>
      </x:c>
      <x:c r="F79" s="12" t="str">
        <x:v>proposed_requires_review</x:v>
      </x:c>
      <x:c r="G79" s="12" t="str">
        <x:v>2015_par_7.md</x:v>
      </x:c>
    </x:row>
    <x:row r="80">
      <x:c r="A80" s="12" t="str">
        <x:v>Email id=361 à 364 , 375 , 387 , 388 , 390 , 391 , 393 , 394 , 396 , 397 , 398</x:v>
      </x:c>
      <x:c r="B80" s="12" t="str">
        <x:v>Email</x:v>
      </x:c>
      <x:c r="C80" s="12" t="n">
        <x:v>363</x:v>
      </x:c>
      <x:c r="D80" s="12" t="str">
        <x:v>Email:363</x:v>
      </x:c>
      <x:c r="E80" s="12" t="str">
        <x:v>found</x:v>
      </x:c>
      <x:c r="F80" s="12" t="str">
        <x:v>proposed_requires_review</x:v>
      </x:c>
      <x:c r="G80" s="12" t="str">
        <x:v>2015_par_7.md</x:v>
      </x:c>
    </x:row>
    <x:row r="81">
      <x:c r="A81" s="12" t="str">
        <x:v>Email id=361 à 364 , 375 , 387 , 388 , 390 , 391 , 393 , 394 , 396 , 397 , 398</x:v>
      </x:c>
      <x:c r="B81" s="12" t="str">
        <x:v>Email</x:v>
      </x:c>
      <x:c r="C81" s="12" t="n">
        <x:v>364</x:v>
      </x:c>
      <x:c r="D81" s="12" t="str">
        <x:v>Email:364</x:v>
      </x:c>
      <x:c r="E81" s="12" t="str">
        <x:v>found</x:v>
      </x:c>
      <x:c r="F81" s="12" t="str">
        <x:v>proposed_requires_review</x:v>
      </x:c>
      <x:c r="G81" s="12" t="str">
        <x:v>2015_par_7.md</x:v>
      </x:c>
    </x:row>
    <x:row r="82">
      <x:c r="A82" s="12" t="str">
        <x:v>Email id=361 à 364 , 375 , 387 , 388 , 390 , 391 , 393 , 394 , 396 , 397 , 398</x:v>
      </x:c>
      <x:c r="B82" s="12" t="str">
        <x:v>Email</x:v>
      </x:c>
      <x:c r="C82" s="12" t="n">
        <x:v>375</x:v>
      </x:c>
      <x:c r="D82" s="12" t="str">
        <x:v>Email:375</x:v>
      </x:c>
      <x:c r="E82" s="12" t="str">
        <x:v>found</x:v>
      </x:c>
      <x:c r="F82" s="12" t="str">
        <x:v>proposed_requires_review</x:v>
      </x:c>
      <x:c r="G82" s="12" t="str">
        <x:v>2015_par_7.md</x:v>
      </x:c>
    </x:row>
    <x:row r="83">
      <x:c r="A83" s="12" t="str">
        <x:v>Email id=361 à 364 , 375 , 387 , 388 , 390 , 391 , 393 , 394 , 396 , 397 , 398</x:v>
      </x:c>
      <x:c r="B83" s="12" t="str">
        <x:v>Email</x:v>
      </x:c>
      <x:c r="C83" s="12" t="n">
        <x:v>387</x:v>
      </x:c>
      <x:c r="D83" s="12" t="str">
        <x:v>Email:387</x:v>
      </x:c>
      <x:c r="E83" s="12" t="str">
        <x:v>found</x:v>
      </x:c>
      <x:c r="F83" s="12" t="str">
        <x:v>proposed_requires_review</x:v>
      </x:c>
      <x:c r="G83" s="12" t="str">
        <x:v>2015_par_7.md</x:v>
      </x:c>
    </x:row>
    <x:row r="84">
      <x:c r="A84" s="12" t="str">
        <x:v>Email id=361 à 364 , 375 , 387 , 388 , 390 , 391 , 393 , 394 , 396 , 397 , 398</x:v>
      </x:c>
      <x:c r="B84" s="12" t="str">
        <x:v>Email</x:v>
      </x:c>
      <x:c r="C84" s="12" t="n">
        <x:v>388</x:v>
      </x:c>
      <x:c r="D84" s="12" t="str">
        <x:v>Email:388</x:v>
      </x:c>
      <x:c r="E84" s="12" t="str">
        <x:v>found</x:v>
      </x:c>
      <x:c r="F84" s="12" t="str">
        <x:v>proposed_requires_review</x:v>
      </x:c>
      <x:c r="G84" s="12" t="str">
        <x:v>2015_par_7.md</x:v>
      </x:c>
    </x:row>
    <x:row r="85">
      <x:c r="A85" s="12" t="str">
        <x:v>Email id=361 à 364 , 375 , 387 , 388 , 390 , 391 , 393 , 394 , 396 , 397 , 398</x:v>
      </x:c>
      <x:c r="B85" s="12" t="str">
        <x:v>Email</x:v>
      </x:c>
      <x:c r="C85" s="12" t="n">
        <x:v>390</x:v>
      </x:c>
      <x:c r="D85" s="12" t="str">
        <x:v>Email:390</x:v>
      </x:c>
      <x:c r="E85" s="12" t="str">
        <x:v>found</x:v>
      </x:c>
      <x:c r="F85" s="12" t="str">
        <x:v>proposed_requires_review</x:v>
      </x:c>
      <x:c r="G85" s="12" t="str">
        <x:v>2015_par_7.md</x:v>
      </x:c>
    </x:row>
    <x:row r="86">
      <x:c r="A86" s="12" t="str">
        <x:v>Email id=361 à 364 , 375 , 387 , 388 , 390 , 391 , 393 , 394 , 396 , 397 , 398</x:v>
      </x:c>
      <x:c r="B86" s="12" t="str">
        <x:v>Email</x:v>
      </x:c>
      <x:c r="C86" s="12" t="n">
        <x:v>391</x:v>
      </x:c>
      <x:c r="D86" s="12" t="str">
        <x:v>Email:391</x:v>
      </x:c>
      <x:c r="E86" s="12" t="str">
        <x:v>found</x:v>
      </x:c>
      <x:c r="F86" s="12" t="str">
        <x:v>proposed_requires_review</x:v>
      </x:c>
      <x:c r="G86" s="12" t="str">
        <x:v>2015_par_7.md</x:v>
      </x:c>
    </x:row>
    <x:row r="87">
      <x:c r="A87" s="12" t="str">
        <x:v>Email id=361 à 364 , 375 , 387 , 388 , 390 , 391 , 393 , 394 , 396 , 397 , 398</x:v>
      </x:c>
      <x:c r="B87" s="12" t="str">
        <x:v>Email</x:v>
      </x:c>
      <x:c r="C87" s="12" t="n">
        <x:v>393</x:v>
      </x:c>
      <x:c r="D87" s="12" t="str">
        <x:v>Email:393</x:v>
      </x:c>
      <x:c r="E87" s="12" t="str">
        <x:v>found</x:v>
      </x:c>
      <x:c r="F87" s="12" t="str">
        <x:v>proposed_requires_review</x:v>
      </x:c>
      <x:c r="G87" s="12" t="str">
        <x:v>2015_par_7.md</x:v>
      </x:c>
    </x:row>
    <x:row r="88">
      <x:c r="A88" s="12" t="str">
        <x:v>Email id=361 à 364 , 375 , 387 , 388 , 390 , 391 , 393 , 394 , 396 , 397 , 398</x:v>
      </x:c>
      <x:c r="B88" s="12" t="str">
        <x:v>Email</x:v>
      </x:c>
      <x:c r="C88" s="12" t="n">
        <x:v>394</x:v>
      </x:c>
      <x:c r="D88" s="12" t="str">
        <x:v>Email:394</x:v>
      </x:c>
      <x:c r="E88" s="12" t="str">
        <x:v>found</x:v>
      </x:c>
      <x:c r="F88" s="12" t="str">
        <x:v>proposed_requires_review</x:v>
      </x:c>
      <x:c r="G88" s="12" t="str">
        <x:v>2015_par_7.md</x:v>
      </x:c>
    </x:row>
    <x:row r="89">
      <x:c r="A89" s="12" t="str">
        <x:v>Email id=361 à 364 , 375 , 387 , 388 , 390 , 391 , 393 , 394 , 396 , 397 , 398</x:v>
      </x:c>
      <x:c r="B89" s="12" t="str">
        <x:v>Email</x:v>
      </x:c>
      <x:c r="C89" s="12" t="n">
        <x:v>396</x:v>
      </x:c>
      <x:c r="D89" s="12" t="str">
        <x:v>Email:396</x:v>
      </x:c>
      <x:c r="E89" s="12" t="str">
        <x:v>found</x:v>
      </x:c>
      <x:c r="F89" s="12" t="str">
        <x:v>proposed_requires_review</x:v>
      </x:c>
      <x:c r="G89" s="12" t="str">
        <x:v>2015_par_7.md</x:v>
      </x:c>
    </x:row>
    <x:row r="90">
      <x:c r="A90" s="12" t="str">
        <x:v>Email id=361 à 364 , 375 , 387 , 388 , 390 , 391 , 393 , 394 , 396 , 397 , 398</x:v>
      </x:c>
      <x:c r="B90" s="12" t="str">
        <x:v>Email</x:v>
      </x:c>
      <x:c r="C90" s="12" t="n">
        <x:v>397</x:v>
      </x:c>
      <x:c r="D90" s="12" t="str">
        <x:v>Email:397</x:v>
      </x:c>
      <x:c r="E90" s="12" t="str">
        <x:v>found</x:v>
      </x:c>
      <x:c r="F90" s="12" t="str">
        <x:v>proposed_requires_review</x:v>
      </x:c>
      <x:c r="G90" s="12" t="str">
        <x:v>2015_par_7.md</x:v>
      </x:c>
    </x:row>
    <x:row r="91">
      <x:c r="A91" s="12" t="str">
        <x:v>Email id=361 à 364 , 375 , 387 , 388 , 390 , 391 , 393 , 394 , 396 , 397 , 398</x:v>
      </x:c>
      <x:c r="B91" s="12" t="str">
        <x:v>Email</x:v>
      </x:c>
      <x:c r="C91" s="12" t="n">
        <x:v>398</x:v>
      </x:c>
      <x:c r="D91" s="12" t="str">
        <x:v>Email:398</x:v>
      </x:c>
      <x:c r="E91" s="12" t="str">
        <x:v>found</x:v>
      </x:c>
      <x:c r="F91" s="12" t="str">
        <x:v>proposed_requires_review</x:v>
      </x:c>
      <x:c r="G91" s="12" t="str">
        <x:v>2015_par_7.md</x:v>
      </x:c>
    </x:row>
    <x:row r="92">
      <x:c r="A92" s="12" t="str">
        <x:v>Email id=53/488</x:v>
      </x:c>
      <x:c r="B92" s="12" t="str">
        <x:v>Email</x:v>
      </x:c>
      <x:c r="C92" s="12" t="str"/>
      <x:c r="D92" s="12" t="str"/>
      <x:c r="E92" s="12" t="str">
        <x:v>not_expanded</x:v>
      </x:c>
      <x:c r="F92" s="12" t="str">
        <x:v>ambiguous_slash</x:v>
      </x:c>
      <x:c r="G92" s="12" t="str">
        <x:v>2015_par_14_17.md | consolidation_pieces_par14-17_2015.xlsx | rapport_union_pieces_par14-17_2015.md | union_pieces_par14-17_2015.csv</x:v>
      </x:c>
    </x:row>
    <x:row r="93">
      <x:c r="A93" s="12" t="str">
        <x:v>Emails id=53/488</x:v>
      </x:c>
      <x:c r="B93" s="12" t="str">
        <x:v>Email</x:v>
      </x:c>
      <x:c r="C93" s="12" t="str"/>
      <x:c r="D93" s="12" t="str"/>
      <x:c r="E93" s="12" t="str">
        <x:v>not_expanded</x:v>
      </x:c>
      <x:c r="F93" s="12" t="str">
        <x:v>ambiguous_slash</x:v>
      </x:c>
      <x:c r="G93" s="12" t="str">
        <x:v>union_exhaustive_pieces_paragraphes_4-5-6.xlsx</x:v>
      </x:c>
    </x:row>
    <x:row r="94">
      <x:c r="A94" s="12" t="str">
        <x:v>Event id=255/256</x:v>
      </x:c>
      <x:c r="B94" s="12" t="str">
        <x:v>Event</x:v>
      </x:c>
      <x:c r="C94" s="12" t="str"/>
      <x:c r="D94" s="12" t="str"/>
      <x:c r="E94" s="12" t="str">
        <x:v>not_expanded</x:v>
      </x:c>
      <x:c r="F94" s="12" t="str">
        <x:v>ambiguous_slash</x:v>
      </x:c>
      <x:c r="G94" s="12" t="str">
        <x:v>2015_par_7.md | union_exhaustive_pieces_paragraphes_4-5-6.xlsx</x:v>
      </x:c>
    </x:row>
    <x:row r="95">
      <x:c r="A95" s="12" t="str">
        <x:v>Event id=94 à 103</x:v>
      </x:c>
      <x:c r="B95" s="12" t="str">
        <x:v>Event</x:v>
      </x:c>
      <x:c r="C95" s="12" t="n">
        <x:v>94</x:v>
      </x:c>
      <x:c r="D95" s="12" t="str">
        <x:v>Event:94</x:v>
      </x:c>
      <x:c r="E95" s="12" t="str">
        <x:v>found</x:v>
      </x:c>
      <x:c r="F95" s="12" t="str">
        <x:v>proposed_requires_review</x:v>
      </x:c>
      <x:c r="G95" s="12" t="str">
        <x:v>2015_par_7.md</x:v>
      </x:c>
    </x:row>
    <x:row r="96">
      <x:c r="A96" s="12" t="str">
        <x:v>Event id=94 à 103</x:v>
      </x:c>
      <x:c r="B96" s="12" t="str">
        <x:v>Event</x:v>
      </x:c>
      <x:c r="C96" s="12" t="n">
        <x:v>95</x:v>
      </x:c>
      <x:c r="D96" s="12" t="str">
        <x:v>Event:95</x:v>
      </x:c>
      <x:c r="E96" s="12" t="str">
        <x:v>found</x:v>
      </x:c>
      <x:c r="F96" s="12" t="str">
        <x:v>proposed_requires_review</x:v>
      </x:c>
      <x:c r="G96" s="12" t="str">
        <x:v>2015_par_7.md</x:v>
      </x:c>
    </x:row>
    <x:row r="97">
      <x:c r="A97" s="12" t="str">
        <x:v>Event id=94 à 103</x:v>
      </x:c>
      <x:c r="B97" s="12" t="str">
        <x:v>Event</x:v>
      </x:c>
      <x:c r="C97" s="12" t="n">
        <x:v>96</x:v>
      </x:c>
      <x:c r="D97" s="12" t="str">
        <x:v>Event:96</x:v>
      </x:c>
      <x:c r="E97" s="12" t="str">
        <x:v>found</x:v>
      </x:c>
      <x:c r="F97" s="12" t="str">
        <x:v>proposed_requires_review</x:v>
      </x:c>
      <x:c r="G97" s="12" t="str">
        <x:v>2015_par_7.md</x:v>
      </x:c>
    </x:row>
    <x:row r="98">
      <x:c r="A98" s="12" t="str">
        <x:v>Event id=94 à 103</x:v>
      </x:c>
      <x:c r="B98" s="12" t="str">
        <x:v>Event</x:v>
      </x:c>
      <x:c r="C98" s="12" t="n">
        <x:v>97</x:v>
      </x:c>
      <x:c r="D98" s="12" t="str">
        <x:v>Event:97</x:v>
      </x:c>
      <x:c r="E98" s="12" t="str">
        <x:v>found</x:v>
      </x:c>
      <x:c r="F98" s="12" t="str">
        <x:v>proposed_requires_review</x:v>
      </x:c>
      <x:c r="G98" s="12" t="str">
        <x:v>2015_par_7.md</x:v>
      </x:c>
    </x:row>
    <x:row r="99">
      <x:c r="A99" s="12" t="str">
        <x:v>Event id=94 à 103</x:v>
      </x:c>
      <x:c r="B99" s="12" t="str">
        <x:v>Event</x:v>
      </x:c>
      <x:c r="C99" s="12" t="n">
        <x:v>98</x:v>
      </x:c>
      <x:c r="D99" s="12" t="str">
        <x:v>Event:98</x:v>
      </x:c>
      <x:c r="E99" s="12" t="str">
        <x:v>found</x:v>
      </x:c>
      <x:c r="F99" s="12" t="str">
        <x:v>proposed_requires_review</x:v>
      </x:c>
      <x:c r="G99" s="12" t="str">
        <x:v>2015_par_7.md</x:v>
      </x:c>
    </x:row>
    <x:row r="100">
      <x:c r="A100" s="12" t="str">
        <x:v>Event id=94 à 103</x:v>
      </x:c>
      <x:c r="B100" s="12" t="str">
        <x:v>Event</x:v>
      </x:c>
      <x:c r="C100" s="12" t="n">
        <x:v>99</x:v>
      </x:c>
      <x:c r="D100" s="12" t="str">
        <x:v>Event:99</x:v>
      </x:c>
      <x:c r="E100" s="12" t="str">
        <x:v>found</x:v>
      </x:c>
      <x:c r="F100" s="12" t="str">
        <x:v>proposed_requires_review</x:v>
      </x:c>
      <x:c r="G100" s="12" t="str">
        <x:v>2015_par_7.md</x:v>
      </x:c>
    </x:row>
    <x:row r="101">
      <x:c r="A101" s="12" t="str">
        <x:v>Event id=94 à 103</x:v>
      </x:c>
      <x:c r="B101" s="12" t="str">
        <x:v>Event</x:v>
      </x:c>
      <x:c r="C101" s="12" t="n">
        <x:v>100</x:v>
      </x:c>
      <x:c r="D101" s="12" t="str">
        <x:v>Event:100</x:v>
      </x:c>
      <x:c r="E101" s="12" t="str">
        <x:v>found</x:v>
      </x:c>
      <x:c r="F101" s="12" t="str">
        <x:v>proposed_requires_review</x:v>
      </x:c>
      <x:c r="G101" s="12" t="str">
        <x:v>2015_par_7.md</x:v>
      </x:c>
    </x:row>
    <x:row r="102">
      <x:c r="A102" s="12" t="str">
        <x:v>Event id=94 à 103</x:v>
      </x:c>
      <x:c r="B102" s="12" t="str">
        <x:v>Event</x:v>
      </x:c>
      <x:c r="C102" s="12" t="n">
        <x:v>101</x:v>
      </x:c>
      <x:c r="D102" s="12" t="str">
        <x:v>Event:101</x:v>
      </x:c>
      <x:c r="E102" s="12" t="str">
        <x:v>found</x:v>
      </x:c>
      <x:c r="F102" s="12" t="str">
        <x:v>proposed_requires_review</x:v>
      </x:c>
      <x:c r="G102" s="12" t="str">
        <x:v>2015_par_7.md</x:v>
      </x:c>
    </x:row>
    <x:row r="103">
      <x:c r="A103" s="12" t="str">
        <x:v>Event id=94 à 103</x:v>
      </x:c>
      <x:c r="B103" s="12" t="str">
        <x:v>Event</x:v>
      </x:c>
      <x:c r="C103" s="12" t="n">
        <x:v>102</x:v>
      </x:c>
      <x:c r="D103" s="12" t="str">
        <x:v>Event:102</x:v>
      </x:c>
      <x:c r="E103" s="12" t="str">
        <x:v>found</x:v>
      </x:c>
      <x:c r="F103" s="12" t="str">
        <x:v>proposed_requires_review</x:v>
      </x:c>
      <x:c r="G103" s="12" t="str">
        <x:v>2015_par_7.md</x:v>
      </x:c>
    </x:row>
    <x:row r="104">
      <x:c r="A104" s="12" t="str">
        <x:v>Event id=94 à 103</x:v>
      </x:c>
      <x:c r="B104" s="12" t="str">
        <x:v>Event</x:v>
      </x:c>
      <x:c r="C104" s="12" t="n">
        <x:v>103</x:v>
      </x:c>
      <x:c r="D104" s="12" t="str">
        <x:v>Event:103</x:v>
      </x:c>
      <x:c r="E104" s="12" t="str">
        <x:v>found</x:v>
      </x:c>
      <x:c r="F104" s="12" t="str">
        <x:v>proposed_requires_review</x:v>
      </x:c>
      <x:c r="G104" s="12" t="str">
        <x:v>2015_par_7.md</x:v>
      </x:c>
    </x:row>
    <x:row r="105">
      <x:c r="A105" s="12" t="str">
        <x:v>Events id=171-180</x:v>
      </x:c>
      <x:c r="B105" s="12" t="str">
        <x:v>Event</x:v>
      </x:c>
      <x:c r="C105" s="12" t="n">
        <x:v>171</x:v>
      </x:c>
      <x:c r="D105" s="12" t="str">
        <x:v>Event:171</x:v>
      </x:c>
      <x:c r="E105" s="12" t="str">
        <x:v>found</x:v>
      </x:c>
      <x:c r="F105" s="12" t="str">
        <x:v>proposed_requires_review</x:v>
      </x:c>
      <x:c r="G105" s="12" t="str">
        <x:v>union_exhaustive_pieces_paragraphes_4-5-6.xlsx</x:v>
      </x:c>
    </x:row>
    <x:row r="106">
      <x:c r="A106" s="12" t="str">
        <x:v>Events id=171-180</x:v>
      </x:c>
      <x:c r="B106" s="12" t="str">
        <x:v>Event</x:v>
      </x:c>
      <x:c r="C106" s="12" t="n">
        <x:v>172</x:v>
      </x:c>
      <x:c r="D106" s="12" t="str">
        <x:v>Event:172</x:v>
      </x:c>
      <x:c r="E106" s="12" t="str">
        <x:v>found</x:v>
      </x:c>
      <x:c r="F106" s="12" t="str">
        <x:v>proposed_requires_review</x:v>
      </x:c>
      <x:c r="G106" s="12" t="str">
        <x:v>union_exhaustive_pieces_paragraphes_4-5-6.xlsx</x:v>
      </x:c>
    </x:row>
    <x:row r="107">
      <x:c r="A107" s="12" t="str">
        <x:v>Events id=171-180</x:v>
      </x:c>
      <x:c r="B107" s="12" t="str">
        <x:v>Event</x:v>
      </x:c>
      <x:c r="C107" s="12" t="n">
        <x:v>173</x:v>
      </x:c>
      <x:c r="D107" s="12" t="str">
        <x:v>Event:173</x:v>
      </x:c>
      <x:c r="E107" s="12" t="str">
        <x:v>not_in_union_audit</x:v>
      </x:c>
      <x:c r="F107" s="12" t="str">
        <x:v>proposed_requires_review</x:v>
      </x:c>
      <x:c r="G107" s="12" t="str">
        <x:v>union_exhaustive_pieces_paragraphes_4-5-6.xlsx</x:v>
      </x:c>
    </x:row>
    <x:row r="108">
      <x:c r="A108" s="12" t="str">
        <x:v>Events id=171-180</x:v>
      </x:c>
      <x:c r="B108" s="12" t="str">
        <x:v>Event</x:v>
      </x:c>
      <x:c r="C108" s="12" t="n">
        <x:v>174</x:v>
      </x:c>
      <x:c r="D108" s="12" t="str">
        <x:v>Event:174</x:v>
      </x:c>
      <x:c r="E108" s="12" t="str">
        <x:v>not_in_union_audit</x:v>
      </x:c>
      <x:c r="F108" s="12" t="str">
        <x:v>proposed_requires_review</x:v>
      </x:c>
      <x:c r="G108" s="12" t="str">
        <x:v>union_exhaustive_pieces_paragraphes_4-5-6.xlsx</x:v>
      </x:c>
    </x:row>
    <x:row r="109">
      <x:c r="A109" s="12" t="str">
        <x:v>Events id=171-180</x:v>
      </x:c>
      <x:c r="B109" s="12" t="str">
        <x:v>Event</x:v>
      </x:c>
      <x:c r="C109" s="12" t="n">
        <x:v>175</x:v>
      </x:c>
      <x:c r="D109" s="12" t="str">
        <x:v>Event:175</x:v>
      </x:c>
      <x:c r="E109" s="12" t="str">
        <x:v>not_in_union_audit</x:v>
      </x:c>
      <x:c r="F109" s="12" t="str">
        <x:v>proposed_requires_review</x:v>
      </x:c>
      <x:c r="G109" s="12" t="str">
        <x:v>union_exhaustive_pieces_paragraphes_4-5-6.xlsx</x:v>
      </x:c>
    </x:row>
    <x:row r="110">
      <x:c r="A110" s="12" t="str">
        <x:v>Events id=171-180</x:v>
      </x:c>
      <x:c r="B110" s="12" t="str">
        <x:v>Event</x:v>
      </x:c>
      <x:c r="C110" s="12" t="n">
        <x:v>176</x:v>
      </x:c>
      <x:c r="D110" s="12" t="str">
        <x:v>Event:176</x:v>
      </x:c>
      <x:c r="E110" s="12" t="str">
        <x:v>not_in_union_audit</x:v>
      </x:c>
      <x:c r="F110" s="12" t="str">
        <x:v>proposed_requires_review</x:v>
      </x:c>
      <x:c r="G110" s="12" t="str">
        <x:v>union_exhaustive_pieces_paragraphes_4-5-6.xlsx</x:v>
      </x:c>
    </x:row>
    <x:row r="111">
      <x:c r="A111" s="12" t="str">
        <x:v>Events id=171-180</x:v>
      </x:c>
      <x:c r="B111" s="12" t="str">
        <x:v>Event</x:v>
      </x:c>
      <x:c r="C111" s="12" t="n">
        <x:v>177</x:v>
      </x:c>
      <x:c r="D111" s="12" t="str">
        <x:v>Event:177</x:v>
      </x:c>
      <x:c r="E111" s="12" t="str">
        <x:v>not_in_union_audit</x:v>
      </x:c>
      <x:c r="F111" s="12" t="str">
        <x:v>proposed_requires_review</x:v>
      </x:c>
      <x:c r="G111" s="12" t="str">
        <x:v>union_exhaustive_pieces_paragraphes_4-5-6.xlsx</x:v>
      </x:c>
    </x:row>
    <x:row r="112">
      <x:c r="A112" s="12" t="str">
        <x:v>Events id=171-180</x:v>
      </x:c>
      <x:c r="B112" s="12" t="str">
        <x:v>Event</x:v>
      </x:c>
      <x:c r="C112" s="12" t="n">
        <x:v>178</x:v>
      </x:c>
      <x:c r="D112" s="12" t="str">
        <x:v>Event:178</x:v>
      </x:c>
      <x:c r="E112" s="12" t="str">
        <x:v>found</x:v>
      </x:c>
      <x:c r="F112" s="12" t="str">
        <x:v>proposed_requires_review</x:v>
      </x:c>
      <x:c r="G112" s="12" t="str">
        <x:v>union_exhaustive_pieces_paragraphes_4-5-6.xlsx</x:v>
      </x:c>
    </x:row>
    <x:row r="113">
      <x:c r="A113" s="12" t="str">
        <x:v>Events id=171-180</x:v>
      </x:c>
      <x:c r="B113" s="12" t="str">
        <x:v>Event</x:v>
      </x:c>
      <x:c r="C113" s="12" t="n">
        <x:v>179</x:v>
      </x:c>
      <x:c r="D113" s="12" t="str">
        <x:v>Event:179</x:v>
      </x:c>
      <x:c r="E113" s="12" t="str">
        <x:v>found</x:v>
      </x:c>
      <x:c r="F113" s="12" t="str">
        <x:v>proposed_requires_review</x:v>
      </x:c>
      <x:c r="G113" s="12" t="str">
        <x:v>union_exhaustive_pieces_paragraphes_4-5-6.xlsx</x:v>
      </x:c>
    </x:row>
    <x:row r="114">
      <x:c r="A114" s="12" t="str">
        <x:v>Events id=171-180</x:v>
      </x:c>
      <x:c r="B114" s="12" t="str">
        <x:v>Event</x:v>
      </x:c>
      <x:c r="C114" s="12" t="n">
        <x:v>180</x:v>
      </x:c>
      <x:c r="D114" s="12" t="str">
        <x:v>Event:180</x:v>
      </x:c>
      <x:c r="E114" s="12" t="str">
        <x:v>found</x:v>
      </x:c>
      <x:c r="F114" s="12" t="str">
        <x:v>proposed_requires_review</x:v>
      </x:c>
      <x:c r="G114" s="12" t="str">
        <x:v>union_exhaustive_pieces_paragraphes_4-5-6.xlsx</x:v>
      </x:c>
    </x:row>
    <x:row r="115">
      <x:c r="A115" s="12" t="str">
        <x:v>Events id=235-240</x:v>
      </x:c>
      <x:c r="B115" s="12" t="str">
        <x:v>Event</x:v>
      </x:c>
      <x:c r="C115" s="12" t="n">
        <x:v>235</x:v>
      </x:c>
      <x:c r="D115" s="12" t="str">
        <x:v>Event:235</x:v>
      </x:c>
      <x:c r="E115" s="12" t="str">
        <x:v>found</x:v>
      </x:c>
      <x:c r="F115" s="12" t="str">
        <x:v>proposed_requires_review</x:v>
      </x:c>
      <x:c r="G115" s="12" t="str">
        <x:v>union_exhaustive_pieces_paragraphes_4-5-6.xlsx</x:v>
      </x:c>
    </x:row>
    <x:row r="116">
      <x:c r="A116" s="12" t="str">
        <x:v>Events id=235-240</x:v>
      </x:c>
      <x:c r="B116" s="12" t="str">
        <x:v>Event</x:v>
      </x:c>
      <x:c r="C116" s="12" t="n">
        <x:v>236</x:v>
      </x:c>
      <x:c r="D116" s="12" t="str">
        <x:v>Event:236</x:v>
      </x:c>
      <x:c r="E116" s="12" t="str">
        <x:v>not_in_union_audit</x:v>
      </x:c>
      <x:c r="F116" s="12" t="str">
        <x:v>proposed_requires_review</x:v>
      </x:c>
      <x:c r="G116" s="12" t="str">
        <x:v>union_exhaustive_pieces_paragraphes_4-5-6.xlsx</x:v>
      </x:c>
    </x:row>
    <x:row r="117">
      <x:c r="A117" s="12" t="str">
        <x:v>Events id=235-240</x:v>
      </x:c>
      <x:c r="B117" s="12" t="str">
        <x:v>Event</x:v>
      </x:c>
      <x:c r="C117" s="12" t="n">
        <x:v>237</x:v>
      </x:c>
      <x:c r="D117" s="12" t="str">
        <x:v>Event:237</x:v>
      </x:c>
      <x:c r="E117" s="12" t="str">
        <x:v>found</x:v>
      </x:c>
      <x:c r="F117" s="12" t="str">
        <x:v>proposed_requires_review</x:v>
      </x:c>
      <x:c r="G117" s="12" t="str">
        <x:v>union_exhaustive_pieces_paragraphes_4-5-6.xlsx</x:v>
      </x:c>
    </x:row>
    <x:row r="118">
      <x:c r="A118" s="12" t="str">
        <x:v>Events id=235-240</x:v>
      </x:c>
      <x:c r="B118" s="12" t="str">
        <x:v>Event</x:v>
      </x:c>
      <x:c r="C118" s="12" t="n">
        <x:v>238</x:v>
      </x:c>
      <x:c r="D118" s="12" t="str">
        <x:v>Event:238</x:v>
      </x:c>
      <x:c r="E118" s="12" t="str">
        <x:v>not_in_union_audit</x:v>
      </x:c>
      <x:c r="F118" s="12" t="str">
        <x:v>proposed_requires_review</x:v>
      </x:c>
      <x:c r="G118" s="12" t="str">
        <x:v>union_exhaustive_pieces_paragraphes_4-5-6.xlsx</x:v>
      </x:c>
    </x:row>
    <x:row r="119">
      <x:c r="A119" s="12" t="str">
        <x:v>Events id=235-240</x:v>
      </x:c>
      <x:c r="B119" s="12" t="str">
        <x:v>Event</x:v>
      </x:c>
      <x:c r="C119" s="12" t="n">
        <x:v>239</x:v>
      </x:c>
      <x:c r="D119" s="12" t="str">
        <x:v>Event:239</x:v>
      </x:c>
      <x:c r="E119" s="12" t="str">
        <x:v>found</x:v>
      </x:c>
      <x:c r="F119" s="12" t="str">
        <x:v>proposed_requires_review</x:v>
      </x:c>
      <x:c r="G119" s="12" t="str">
        <x:v>union_exhaustive_pieces_paragraphes_4-5-6.xlsx</x:v>
      </x:c>
    </x:row>
    <x:row r="120">
      <x:c r="A120" s="12" t="str">
        <x:v>Events id=235-240</x:v>
      </x:c>
      <x:c r="B120" s="12" t="str">
        <x:v>Event</x:v>
      </x:c>
      <x:c r="C120" s="12" t="n">
        <x:v>240</x:v>
      </x:c>
      <x:c r="D120" s="12" t="str">
        <x:v>Event:240</x:v>
      </x:c>
      <x:c r="E120" s="12" t="str">
        <x:v>found</x:v>
      </x:c>
      <x:c r="F120" s="12" t="str">
        <x:v>proposed_requires_review</x:v>
      </x:c>
      <x:c r="G120" s="12" t="str">
        <x:v>union_exhaustive_pieces_paragraphes_4-5-6.xlsx</x:v>
      </x:c>
    </x:row>
    <x:row r="121">
      <x:c r="A121" s="12" t="str">
        <x:v>Events id=257 à 260</x:v>
      </x:c>
      <x:c r="B121" s="12" t="str">
        <x:v>Event</x:v>
      </x:c>
      <x:c r="C121" s="12" t="n">
        <x:v>257</x:v>
      </x:c>
      <x:c r="D121" s="12" t="str">
        <x:v>Event:257</x:v>
      </x:c>
      <x:c r="E121" s="12" t="str">
        <x:v>found</x:v>
      </x:c>
      <x:c r="F121" s="12" t="str">
        <x:v>proposed_requires_review</x:v>
      </x:c>
      <x:c r="G121" s="12" t="str">
        <x:v>2015_par_9.md</x:v>
      </x:c>
    </x:row>
    <x:row r="122">
      <x:c r="A122" s="12" t="str">
        <x:v>Events id=257 à 260</x:v>
      </x:c>
      <x:c r="B122" s="12" t="str">
        <x:v>Event</x:v>
      </x:c>
      <x:c r="C122" s="12" t="n">
        <x:v>258</x:v>
      </x:c>
      <x:c r="D122" s="12" t="str">
        <x:v>Event:258</x:v>
      </x:c>
      <x:c r="E122" s="12" t="str">
        <x:v>found</x:v>
      </x:c>
      <x:c r="F122" s="12" t="str">
        <x:v>proposed_requires_review</x:v>
      </x:c>
      <x:c r="G122" s="12" t="str">
        <x:v>2015_par_9.md</x:v>
      </x:c>
    </x:row>
    <x:row r="123">
      <x:c r="A123" s="12" t="str">
        <x:v>Events id=257 à 260</x:v>
      </x:c>
      <x:c r="B123" s="12" t="str">
        <x:v>Event</x:v>
      </x:c>
      <x:c r="C123" s="12" t="n">
        <x:v>259</x:v>
      </x:c>
      <x:c r="D123" s="12" t="str">
        <x:v>Event:259</x:v>
      </x:c>
      <x:c r="E123" s="12" t="str">
        <x:v>found</x:v>
      </x:c>
      <x:c r="F123" s="12" t="str">
        <x:v>proposed_requires_review</x:v>
      </x:c>
      <x:c r="G123" s="12" t="str">
        <x:v>2015_par_9.md</x:v>
      </x:c>
    </x:row>
    <x:row r="124">
      <x:c r="A124" s="12" t="str">
        <x:v>Events id=257 à 260</x:v>
      </x:c>
      <x:c r="B124" s="12" t="str">
        <x:v>Event</x:v>
      </x:c>
      <x:c r="C124" s="12" t="n">
        <x:v>260</x:v>
      </x:c>
      <x:c r="D124" s="12" t="str">
        <x:v>Event:260</x:v>
      </x:c>
      <x:c r="E124" s="12" t="str">
        <x:v>found</x:v>
      </x:c>
      <x:c r="F124" s="12" t="str">
        <x:v>proposed_requires_review</x:v>
      </x:c>
      <x:c r="G124" s="12" t="str">
        <x:v>2015_par_9.md</x:v>
      </x:c>
    </x:row>
    <x:row r="125">
      <x:c r="A125" s="12" t="str">
        <x:v>Events id=312 à 315</x:v>
      </x:c>
      <x:c r="B125" s="12" t="str">
        <x:v>Event</x:v>
      </x:c>
      <x:c r="C125" s="12" t="n">
        <x:v>312</x:v>
      </x:c>
      <x:c r="D125" s="12" t="str">
        <x:v>Event:312</x:v>
      </x:c>
      <x:c r="E125" s="12" t="str">
        <x:v>found</x:v>
      </x:c>
      <x:c r="F125" s="12" t="str">
        <x:v>proposed_requires_review</x:v>
      </x:c>
      <x:c r="G125" s="12" t="str">
        <x:v>2015_par_9.md</x:v>
      </x:c>
    </x:row>
    <x:row r="126">
      <x:c r="A126" s="12" t="str">
        <x:v>Events id=312 à 315</x:v>
      </x:c>
      <x:c r="B126" s="12" t="str">
        <x:v>Event</x:v>
      </x:c>
      <x:c r="C126" s="12" t="n">
        <x:v>313</x:v>
      </x:c>
      <x:c r="D126" s="12" t="str">
        <x:v>Event:313</x:v>
      </x:c>
      <x:c r="E126" s="12" t="str">
        <x:v>found</x:v>
      </x:c>
      <x:c r="F126" s="12" t="str">
        <x:v>proposed_requires_review</x:v>
      </x:c>
      <x:c r="G126" s="12" t="str">
        <x:v>2015_par_9.md</x:v>
      </x:c>
    </x:row>
    <x:row r="127">
      <x:c r="A127" s="12" t="str">
        <x:v>Events id=312 à 315</x:v>
      </x:c>
      <x:c r="B127" s="12" t="str">
        <x:v>Event</x:v>
      </x:c>
      <x:c r="C127" s="12" t="n">
        <x:v>314</x:v>
      </x:c>
      <x:c r="D127" s="12" t="str">
        <x:v>Event:314</x:v>
      </x:c>
      <x:c r="E127" s="12" t="str">
        <x:v>found</x:v>
      </x:c>
      <x:c r="F127" s="12" t="str">
        <x:v>proposed_requires_review</x:v>
      </x:c>
      <x:c r="G127" s="12" t="str">
        <x:v>2015_par_9.md</x:v>
      </x:c>
    </x:row>
    <x:row r="128">
      <x:c r="A128" s="12" t="str">
        <x:v>Events id=312 à 315</x:v>
      </x:c>
      <x:c r="B128" s="12" t="str">
        <x:v>Event</x:v>
      </x:c>
      <x:c r="C128" s="12" t="n">
        <x:v>315</x:v>
      </x:c>
      <x:c r="D128" s="12" t="str">
        <x:v>Event:315</x:v>
      </x:c>
      <x:c r="E128" s="12" t="str">
        <x:v>found</x:v>
      </x:c>
      <x:c r="F128" s="12" t="str">
        <x:v>proposed_requires_review</x:v>
      </x:c>
      <x:c r="G128" s="12" t="str">
        <x:v>2015_par_9.md</x:v>
      </x:c>
    </x:row>
    <x:row r="129">
      <x:c r="A129" s="12" t="str">
        <x:v>Events id=316 à 320</x:v>
      </x:c>
      <x:c r="B129" s="12" t="str">
        <x:v>Event</x:v>
      </x:c>
      <x:c r="C129" s="12" t="n">
        <x:v>316</x:v>
      </x:c>
      <x:c r="D129" s="12" t="str">
        <x:v>Event:316</x:v>
      </x:c>
      <x:c r="E129" s="12" t="str">
        <x:v>found</x:v>
      </x:c>
      <x:c r="F129" s="12" t="str">
        <x:v>proposed_requires_review</x:v>
      </x:c>
      <x:c r="G129" s="12" t="str">
        <x:v>2015_par_9.md</x:v>
      </x:c>
    </x:row>
    <x:row r="130">
      <x:c r="A130" s="12" t="str">
        <x:v>Events id=316 à 320</x:v>
      </x:c>
      <x:c r="B130" s="12" t="str">
        <x:v>Event</x:v>
      </x:c>
      <x:c r="C130" s="12" t="n">
        <x:v>317</x:v>
      </x:c>
      <x:c r="D130" s="12" t="str">
        <x:v>Event:317</x:v>
      </x:c>
      <x:c r="E130" s="12" t="str">
        <x:v>found</x:v>
      </x:c>
      <x:c r="F130" s="12" t="str">
        <x:v>proposed_requires_review</x:v>
      </x:c>
      <x:c r="G130" s="12" t="str">
        <x:v>2015_par_9.md</x:v>
      </x:c>
    </x:row>
    <x:row r="131">
      <x:c r="A131" s="12" t="str">
        <x:v>Events id=316 à 320</x:v>
      </x:c>
      <x:c r="B131" s="12" t="str">
        <x:v>Event</x:v>
      </x:c>
      <x:c r="C131" s="12" t="n">
        <x:v>318</x:v>
      </x:c>
      <x:c r="D131" s="12" t="str">
        <x:v>Event:318</x:v>
      </x:c>
      <x:c r="E131" s="12" t="str">
        <x:v>found</x:v>
      </x:c>
      <x:c r="F131" s="12" t="str">
        <x:v>proposed_requires_review</x:v>
      </x:c>
      <x:c r="G131" s="12" t="str">
        <x:v>2015_par_9.md</x:v>
      </x:c>
    </x:row>
    <x:row r="132">
      <x:c r="A132" s="12" t="str">
        <x:v>Events id=316 à 320</x:v>
      </x:c>
      <x:c r="B132" s="12" t="str">
        <x:v>Event</x:v>
      </x:c>
      <x:c r="C132" s="12" t="n">
        <x:v>319</x:v>
      </x:c>
      <x:c r="D132" s="12" t="str">
        <x:v>Event:319</x:v>
      </x:c>
      <x:c r="E132" s="12" t="str">
        <x:v>found</x:v>
      </x:c>
      <x:c r="F132" s="12" t="str">
        <x:v>proposed_requires_review</x:v>
      </x:c>
      <x:c r="G132" s="12" t="str">
        <x:v>2015_par_9.md</x:v>
      </x:c>
    </x:row>
    <x:row r="133">
      <x:c r="A133" s="12" t="str">
        <x:v>Events id=316 à 320</x:v>
      </x:c>
      <x:c r="B133" s="12" t="str">
        <x:v>Event</x:v>
      </x:c>
      <x:c r="C133" s="12" t="n">
        <x:v>320</x:v>
      </x:c>
      <x:c r="D133" s="12" t="str">
        <x:v>Event:320</x:v>
      </x:c>
      <x:c r="E133" s="12" t="str">
        <x:v>found</x:v>
      </x:c>
      <x:c r="F133" s="12" t="str">
        <x:v>proposed_requires_review</x:v>
      </x:c>
      <x:c r="G133" s="12" t="str">
        <x:v>2015_par_9.md</x:v>
      </x:c>
    </x:row>
    <x:row r="134">
      <x:c r="A134" s="12" t="str">
        <x:v>Events id=316 à 326</x:v>
      </x:c>
      <x:c r="B134" s="12" t="str">
        <x:v>Event</x:v>
      </x:c>
      <x:c r="C134" s="12" t="n">
        <x:v>316</x:v>
      </x:c>
      <x:c r="D134" s="12" t="str">
        <x:v>Event:316</x:v>
      </x:c>
      <x:c r="E134" s="12" t="str">
        <x:v>found</x:v>
      </x:c>
      <x:c r="F134" s="12" t="str">
        <x:v>proposed_requires_review</x:v>
      </x:c>
      <x:c r="G134" s="12" t="str">
        <x:v>rapport_union_pieces_par14-17_2015.md | union_exhaustive_pieces_paragraphes_4-5-6.xlsx</x:v>
      </x:c>
    </x:row>
    <x:row r="135">
      <x:c r="A135" s="12" t="str">
        <x:v>Events id=316 à 326</x:v>
      </x:c>
      <x:c r="B135" s="12" t="str">
        <x:v>Event</x:v>
      </x:c>
      <x:c r="C135" s="12" t="n">
        <x:v>317</x:v>
      </x:c>
      <x:c r="D135" s="12" t="str">
        <x:v>Event:317</x:v>
      </x:c>
      <x:c r="E135" s="12" t="str">
        <x:v>found</x:v>
      </x:c>
      <x:c r="F135" s="12" t="str">
        <x:v>proposed_requires_review</x:v>
      </x:c>
      <x:c r="G135" s="12" t="str">
        <x:v>rapport_union_pieces_par14-17_2015.md | union_exhaustive_pieces_paragraphes_4-5-6.xlsx</x:v>
      </x:c>
    </x:row>
    <x:row r="136">
      <x:c r="A136" s="12" t="str">
        <x:v>Events id=316 à 326</x:v>
      </x:c>
      <x:c r="B136" s="12" t="str">
        <x:v>Event</x:v>
      </x:c>
      <x:c r="C136" s="12" t="n">
        <x:v>318</x:v>
      </x:c>
      <x:c r="D136" s="12" t="str">
        <x:v>Event:318</x:v>
      </x:c>
      <x:c r="E136" s="12" t="str">
        <x:v>found</x:v>
      </x:c>
      <x:c r="F136" s="12" t="str">
        <x:v>proposed_requires_review</x:v>
      </x:c>
      <x:c r="G136" s="12" t="str">
        <x:v>rapport_union_pieces_par14-17_2015.md | union_exhaustive_pieces_paragraphes_4-5-6.xlsx</x:v>
      </x:c>
    </x:row>
    <x:row r="137">
      <x:c r="A137" s="12" t="str">
        <x:v>Events id=316 à 326</x:v>
      </x:c>
      <x:c r="B137" s="12" t="str">
        <x:v>Event</x:v>
      </x:c>
      <x:c r="C137" s="12" t="n">
        <x:v>319</x:v>
      </x:c>
      <x:c r="D137" s="12" t="str">
        <x:v>Event:319</x:v>
      </x:c>
      <x:c r="E137" s="12" t="str">
        <x:v>found</x:v>
      </x:c>
      <x:c r="F137" s="12" t="str">
        <x:v>proposed_requires_review</x:v>
      </x:c>
      <x:c r="G137" s="12" t="str">
        <x:v>rapport_union_pieces_par14-17_2015.md | union_exhaustive_pieces_paragraphes_4-5-6.xlsx</x:v>
      </x:c>
    </x:row>
    <x:row r="138">
      <x:c r="A138" s="12" t="str">
        <x:v>Events id=316 à 326</x:v>
      </x:c>
      <x:c r="B138" s="12" t="str">
        <x:v>Event</x:v>
      </x:c>
      <x:c r="C138" s="12" t="n">
        <x:v>320</x:v>
      </x:c>
      <x:c r="D138" s="12" t="str">
        <x:v>Event:320</x:v>
      </x:c>
      <x:c r="E138" s="12" t="str">
        <x:v>found</x:v>
      </x:c>
      <x:c r="F138" s="12" t="str">
        <x:v>proposed_requires_review</x:v>
      </x:c>
      <x:c r="G138" s="12" t="str">
        <x:v>rapport_union_pieces_par14-17_2015.md | union_exhaustive_pieces_paragraphes_4-5-6.xlsx</x:v>
      </x:c>
    </x:row>
    <x:row r="139">
      <x:c r="A139" s="12" t="str">
        <x:v>Events id=316 à 326</x:v>
      </x:c>
      <x:c r="B139" s="12" t="str">
        <x:v>Event</x:v>
      </x:c>
      <x:c r="C139" s="12" t="n">
        <x:v>321</x:v>
      </x:c>
      <x:c r="D139" s="12" t="str">
        <x:v>Event:321</x:v>
      </x:c>
      <x:c r="E139" s="12" t="str">
        <x:v>found</x:v>
      </x:c>
      <x:c r="F139" s="12" t="str">
        <x:v>proposed_requires_review</x:v>
      </x:c>
      <x:c r="G139" s="12" t="str">
        <x:v>rapport_union_pieces_par14-17_2015.md | union_exhaustive_pieces_paragraphes_4-5-6.xlsx</x:v>
      </x:c>
    </x:row>
    <x:row r="140">
      <x:c r="A140" s="12" t="str">
        <x:v>Events id=316 à 326</x:v>
      </x:c>
      <x:c r="B140" s="12" t="str">
        <x:v>Event</x:v>
      </x:c>
      <x:c r="C140" s="12" t="n">
        <x:v>322</x:v>
      </x:c>
      <x:c r="D140" s="12" t="str">
        <x:v>Event:322</x:v>
      </x:c>
      <x:c r="E140" s="12" t="str">
        <x:v>found</x:v>
      </x:c>
      <x:c r="F140" s="12" t="str">
        <x:v>proposed_requires_review</x:v>
      </x:c>
      <x:c r="G140" s="12" t="str">
        <x:v>rapport_union_pieces_par14-17_2015.md | union_exhaustive_pieces_paragraphes_4-5-6.xlsx</x:v>
      </x:c>
    </x:row>
    <x:row r="141">
      <x:c r="A141" s="12" t="str">
        <x:v>Events id=316 à 326</x:v>
      </x:c>
      <x:c r="B141" s="12" t="str">
        <x:v>Event</x:v>
      </x:c>
      <x:c r="C141" s="12" t="n">
        <x:v>323</x:v>
      </x:c>
      <x:c r="D141" s="12" t="str">
        <x:v>Event:323</x:v>
      </x:c>
      <x:c r="E141" s="12" t="str">
        <x:v>found</x:v>
      </x:c>
      <x:c r="F141" s="12" t="str">
        <x:v>proposed_requires_review</x:v>
      </x:c>
      <x:c r="G141" s="12" t="str">
        <x:v>rapport_union_pieces_par14-17_2015.md | union_exhaustive_pieces_paragraphes_4-5-6.xlsx</x:v>
      </x:c>
    </x:row>
    <x:row r="142">
      <x:c r="A142" s="12" t="str">
        <x:v>Events id=316 à 326</x:v>
      </x:c>
      <x:c r="B142" s="12" t="str">
        <x:v>Event</x:v>
      </x:c>
      <x:c r="C142" s="12" t="n">
        <x:v>324</x:v>
      </x:c>
      <x:c r="D142" s="12" t="str">
        <x:v>Event:324</x:v>
      </x:c>
      <x:c r="E142" s="12" t="str">
        <x:v>found</x:v>
      </x:c>
      <x:c r="F142" s="12" t="str">
        <x:v>proposed_requires_review</x:v>
      </x:c>
      <x:c r="G142" s="12" t="str">
        <x:v>rapport_union_pieces_par14-17_2015.md | union_exhaustive_pieces_paragraphes_4-5-6.xlsx</x:v>
      </x:c>
    </x:row>
    <x:row r="143">
      <x:c r="A143" s="12" t="str">
        <x:v>Events id=316 à 326</x:v>
      </x:c>
      <x:c r="B143" s="12" t="str">
        <x:v>Event</x:v>
      </x:c>
      <x:c r="C143" s="12" t="n">
        <x:v>325</x:v>
      </x:c>
      <x:c r="D143" s="12" t="str">
        <x:v>Event:325</x:v>
      </x:c>
      <x:c r="E143" s="12" t="str">
        <x:v>found</x:v>
      </x:c>
      <x:c r="F143" s="12" t="str">
        <x:v>proposed_requires_review</x:v>
      </x:c>
      <x:c r="G143" s="12" t="str">
        <x:v>rapport_union_pieces_par14-17_2015.md | union_exhaustive_pieces_paragraphes_4-5-6.xlsx</x:v>
      </x:c>
    </x:row>
    <x:row r="144">
      <x:c r="A144" s="12" t="str">
        <x:v>Events id=316 à 326</x:v>
      </x:c>
      <x:c r="B144" s="12" t="str">
        <x:v>Event</x:v>
      </x:c>
      <x:c r="C144" s="12" t="n">
        <x:v>326</x:v>
      </x:c>
      <x:c r="D144" s="12" t="str">
        <x:v>Event:326</x:v>
      </x:c>
      <x:c r="E144" s="12" t="str">
        <x:v>found</x:v>
      </x:c>
      <x:c r="F144" s="12" t="str">
        <x:v>proposed_requires_review</x:v>
      </x:c>
      <x:c r="G144" s="12" t="str">
        <x:v>rapport_union_pieces_par14-17_2015.md | union_exhaustive_pieces_paragraphes_4-5-6.xlsx</x:v>
      </x:c>
    </x:row>
    <x:row r="145">
      <x:c r="A145" s="12" t="str">
        <x:v>Events id=316-326</x:v>
      </x:c>
      <x:c r="B145" s="12" t="str">
        <x:v>Event</x:v>
      </x:c>
      <x:c r="C145" s="12" t="n">
        <x:v>316</x:v>
      </x:c>
      <x:c r="D145" s="12" t="str">
        <x:v>Event:316</x:v>
      </x:c>
      <x:c r="E145" s="12" t="str">
        <x:v>found</x:v>
      </x:c>
      <x:c r="F145" s="12" t="str">
        <x:v>proposed_requires_review</x:v>
      </x:c>
      <x:c r="G145" s="12" t="str">
        <x:v>union_exhaustive_pieces_paragraphes_4-5-6.xlsx</x:v>
      </x:c>
    </x:row>
    <x:row r="146">
      <x:c r="A146" s="12" t="str">
        <x:v>Events id=316-326</x:v>
      </x:c>
      <x:c r="B146" s="12" t="str">
        <x:v>Event</x:v>
      </x:c>
      <x:c r="C146" s="12" t="n">
        <x:v>317</x:v>
      </x:c>
      <x:c r="D146" s="12" t="str">
        <x:v>Event:317</x:v>
      </x:c>
      <x:c r="E146" s="12" t="str">
        <x:v>found</x:v>
      </x:c>
      <x:c r="F146" s="12" t="str">
        <x:v>proposed_requires_review</x:v>
      </x:c>
      <x:c r="G146" s="12" t="str">
        <x:v>union_exhaustive_pieces_paragraphes_4-5-6.xlsx</x:v>
      </x:c>
    </x:row>
    <x:row r="147">
      <x:c r="A147" s="12" t="str">
        <x:v>Events id=316-326</x:v>
      </x:c>
      <x:c r="B147" s="12" t="str">
        <x:v>Event</x:v>
      </x:c>
      <x:c r="C147" s="12" t="n">
        <x:v>318</x:v>
      </x:c>
      <x:c r="D147" s="12" t="str">
        <x:v>Event:318</x:v>
      </x:c>
      <x:c r="E147" s="12" t="str">
        <x:v>found</x:v>
      </x:c>
      <x:c r="F147" s="12" t="str">
        <x:v>proposed_requires_review</x:v>
      </x:c>
      <x:c r="G147" s="12" t="str">
        <x:v>union_exhaustive_pieces_paragraphes_4-5-6.xlsx</x:v>
      </x:c>
    </x:row>
    <x:row r="148">
      <x:c r="A148" s="12" t="str">
        <x:v>Events id=316-326</x:v>
      </x:c>
      <x:c r="B148" s="12" t="str">
        <x:v>Event</x:v>
      </x:c>
      <x:c r="C148" s="12" t="n">
        <x:v>319</x:v>
      </x:c>
      <x:c r="D148" s="12" t="str">
        <x:v>Event:319</x:v>
      </x:c>
      <x:c r="E148" s="12" t="str">
        <x:v>found</x:v>
      </x:c>
      <x:c r="F148" s="12" t="str">
        <x:v>proposed_requires_review</x:v>
      </x:c>
      <x:c r="G148" s="12" t="str">
        <x:v>union_exhaustive_pieces_paragraphes_4-5-6.xlsx</x:v>
      </x:c>
    </x:row>
    <x:row r="149">
      <x:c r="A149" s="12" t="str">
        <x:v>Events id=316-326</x:v>
      </x:c>
      <x:c r="B149" s="12" t="str">
        <x:v>Event</x:v>
      </x:c>
      <x:c r="C149" s="12" t="n">
        <x:v>320</x:v>
      </x:c>
      <x:c r="D149" s="12" t="str">
        <x:v>Event:320</x:v>
      </x:c>
      <x:c r="E149" s="12" t="str">
        <x:v>found</x:v>
      </x:c>
      <x:c r="F149" s="12" t="str">
        <x:v>proposed_requires_review</x:v>
      </x:c>
      <x:c r="G149" s="12" t="str">
        <x:v>union_exhaustive_pieces_paragraphes_4-5-6.xlsx</x:v>
      </x:c>
    </x:row>
    <x:row r="150">
      <x:c r="A150" s="12" t="str">
        <x:v>Events id=316-326</x:v>
      </x:c>
      <x:c r="B150" s="12" t="str">
        <x:v>Event</x:v>
      </x:c>
      <x:c r="C150" s="12" t="n">
        <x:v>321</x:v>
      </x:c>
      <x:c r="D150" s="12" t="str">
        <x:v>Event:321</x:v>
      </x:c>
      <x:c r="E150" s="12" t="str">
        <x:v>found</x:v>
      </x:c>
      <x:c r="F150" s="12" t="str">
        <x:v>proposed_requires_review</x:v>
      </x:c>
      <x:c r="G150" s="12" t="str">
        <x:v>union_exhaustive_pieces_paragraphes_4-5-6.xlsx</x:v>
      </x:c>
    </x:row>
    <x:row r="151">
      <x:c r="A151" s="12" t="str">
        <x:v>Events id=316-326</x:v>
      </x:c>
      <x:c r="B151" s="12" t="str">
        <x:v>Event</x:v>
      </x:c>
      <x:c r="C151" s="12" t="n">
        <x:v>322</x:v>
      </x:c>
      <x:c r="D151" s="12" t="str">
        <x:v>Event:322</x:v>
      </x:c>
      <x:c r="E151" s="12" t="str">
        <x:v>found</x:v>
      </x:c>
      <x:c r="F151" s="12" t="str">
        <x:v>proposed_requires_review</x:v>
      </x:c>
      <x:c r="G151" s="12" t="str">
        <x:v>union_exhaustive_pieces_paragraphes_4-5-6.xlsx</x:v>
      </x:c>
    </x:row>
    <x:row r="152">
      <x:c r="A152" s="12" t="str">
        <x:v>Events id=316-326</x:v>
      </x:c>
      <x:c r="B152" s="12" t="str">
        <x:v>Event</x:v>
      </x:c>
      <x:c r="C152" s="12" t="n">
        <x:v>323</x:v>
      </x:c>
      <x:c r="D152" s="12" t="str">
        <x:v>Event:323</x:v>
      </x:c>
      <x:c r="E152" s="12" t="str">
        <x:v>found</x:v>
      </x:c>
      <x:c r="F152" s="12" t="str">
        <x:v>proposed_requires_review</x:v>
      </x:c>
      <x:c r="G152" s="12" t="str">
        <x:v>union_exhaustive_pieces_paragraphes_4-5-6.xlsx</x:v>
      </x:c>
    </x:row>
    <x:row r="153">
      <x:c r="A153" s="12" t="str">
        <x:v>Events id=316-326</x:v>
      </x:c>
      <x:c r="B153" s="12" t="str">
        <x:v>Event</x:v>
      </x:c>
      <x:c r="C153" s="12" t="n">
        <x:v>324</x:v>
      </x:c>
      <x:c r="D153" s="12" t="str">
        <x:v>Event:324</x:v>
      </x:c>
      <x:c r="E153" s="12" t="str">
        <x:v>found</x:v>
      </x:c>
      <x:c r="F153" s="12" t="str">
        <x:v>proposed_requires_review</x:v>
      </x:c>
      <x:c r="G153" s="12" t="str">
        <x:v>union_exhaustive_pieces_paragraphes_4-5-6.xlsx</x:v>
      </x:c>
    </x:row>
    <x:row r="154">
      <x:c r="A154" s="12" t="str">
        <x:v>Events id=316-326</x:v>
      </x:c>
      <x:c r="B154" s="12" t="str">
        <x:v>Event</x:v>
      </x:c>
      <x:c r="C154" s="12" t="n">
        <x:v>325</x:v>
      </x:c>
      <x:c r="D154" s="12" t="str">
        <x:v>Event:325</x:v>
      </x:c>
      <x:c r="E154" s="12" t="str">
        <x:v>found</x:v>
      </x:c>
      <x:c r="F154" s="12" t="str">
        <x:v>proposed_requires_review</x:v>
      </x:c>
      <x:c r="G154" s="12" t="str">
        <x:v>union_exhaustive_pieces_paragraphes_4-5-6.xlsx</x:v>
      </x:c>
    </x:row>
    <x:row r="155">
      <x:c r="A155" s="12" t="str">
        <x:v>Events id=316-326</x:v>
      </x:c>
      <x:c r="B155" s="12" t="str">
        <x:v>Event</x:v>
      </x:c>
      <x:c r="C155" s="12" t="n">
        <x:v>326</x:v>
      </x:c>
      <x:c r="D155" s="12" t="str">
        <x:v>Event:326</x:v>
      </x:c>
      <x:c r="E155" s="12" t="str">
        <x:v>found</x:v>
      </x:c>
      <x:c r="F155" s="12" t="str">
        <x:v>proposed_requires_review</x:v>
      </x:c>
      <x:c r="G155" s="12" t="str">
        <x:v>union_exhaustive_pieces_paragraphes_4-5-6.xlsx</x:v>
      </x:c>
    </x:row>
    <x:row r="156">
      <x:c r="A156" s="12" t="str">
        <x:v>Events id=75-83</x:v>
      </x:c>
      <x:c r="B156" s="12" t="str">
        <x:v>Event</x:v>
      </x:c>
      <x:c r="C156" s="12" t="n">
        <x:v>75</x:v>
      </x:c>
      <x:c r="D156" s="12" t="str">
        <x:v>Event:75</x:v>
      </x:c>
      <x:c r="E156" s="12" t="str">
        <x:v>found</x:v>
      </x:c>
      <x:c r="F156" s="12" t="str">
        <x:v>proposed_requires_review</x:v>
      </x:c>
      <x:c r="G156" s="12" t="str">
        <x:v>union_exhaustive_pieces_paragraphes_4-5-6.xlsx</x:v>
      </x:c>
    </x:row>
    <x:row r="157">
      <x:c r="A157" s="12" t="str">
        <x:v>Events id=75-83</x:v>
      </x:c>
      <x:c r="B157" s="12" t="str">
        <x:v>Event</x:v>
      </x:c>
      <x:c r="C157" s="12" t="n">
        <x:v>76</x:v>
      </x:c>
      <x:c r="D157" s="12" t="str">
        <x:v>Event:76</x:v>
      </x:c>
      <x:c r="E157" s="12" t="str">
        <x:v>found</x:v>
      </x:c>
      <x:c r="F157" s="12" t="str">
        <x:v>proposed_requires_review</x:v>
      </x:c>
      <x:c r="G157" s="12" t="str">
        <x:v>union_exhaustive_pieces_paragraphes_4-5-6.xlsx</x:v>
      </x:c>
    </x:row>
    <x:row r="158">
      <x:c r="A158" s="12" t="str">
        <x:v>Events id=75-83</x:v>
      </x:c>
      <x:c r="B158" s="12" t="str">
        <x:v>Event</x:v>
      </x:c>
      <x:c r="C158" s="12" t="n">
        <x:v>77</x:v>
      </x:c>
      <x:c r="D158" s="12" t="str">
        <x:v>Event:77</x:v>
      </x:c>
      <x:c r="E158" s="12" t="str">
        <x:v>found</x:v>
      </x:c>
      <x:c r="F158" s="12" t="str">
        <x:v>proposed_requires_review</x:v>
      </x:c>
      <x:c r="G158" s="12" t="str">
        <x:v>union_exhaustive_pieces_paragraphes_4-5-6.xlsx</x:v>
      </x:c>
    </x:row>
    <x:row r="159">
      <x:c r="A159" s="12" t="str">
        <x:v>Events id=75-83</x:v>
      </x:c>
      <x:c r="B159" s="12" t="str">
        <x:v>Event</x:v>
      </x:c>
      <x:c r="C159" s="12" t="n">
        <x:v>78</x:v>
      </x:c>
      <x:c r="D159" s="12" t="str">
        <x:v>Event:78</x:v>
      </x:c>
      <x:c r="E159" s="12" t="str">
        <x:v>found</x:v>
      </x:c>
      <x:c r="F159" s="12" t="str">
        <x:v>proposed_requires_review</x:v>
      </x:c>
      <x:c r="G159" s="12" t="str">
        <x:v>union_exhaustive_pieces_paragraphes_4-5-6.xlsx</x:v>
      </x:c>
    </x:row>
    <x:row r="160">
      <x:c r="A160" s="12" t="str">
        <x:v>Events id=75-83</x:v>
      </x:c>
      <x:c r="B160" s="12" t="str">
        <x:v>Event</x:v>
      </x:c>
      <x:c r="C160" s="12" t="n">
        <x:v>79</x:v>
      </x:c>
      <x:c r="D160" s="12" t="str">
        <x:v>Event:79</x:v>
      </x:c>
      <x:c r="E160" s="12" t="str">
        <x:v>found</x:v>
      </x:c>
      <x:c r="F160" s="12" t="str">
        <x:v>proposed_requires_review</x:v>
      </x:c>
      <x:c r="G160" s="12" t="str">
        <x:v>union_exhaustive_pieces_paragraphes_4-5-6.xlsx</x:v>
      </x:c>
    </x:row>
    <x:row r="161">
      <x:c r="A161" s="12" t="str">
        <x:v>Events id=75-83</x:v>
      </x:c>
      <x:c r="B161" s="12" t="str">
        <x:v>Event</x:v>
      </x:c>
      <x:c r="C161" s="12" t="n">
        <x:v>80</x:v>
      </x:c>
      <x:c r="D161" s="12" t="str">
        <x:v>Event:80</x:v>
      </x:c>
      <x:c r="E161" s="12" t="str">
        <x:v>found</x:v>
      </x:c>
      <x:c r="F161" s="12" t="str">
        <x:v>proposed_requires_review</x:v>
      </x:c>
      <x:c r="G161" s="12" t="str">
        <x:v>union_exhaustive_pieces_paragraphes_4-5-6.xlsx</x:v>
      </x:c>
    </x:row>
    <x:row r="162">
      <x:c r="A162" s="12" t="str">
        <x:v>Events id=75-83</x:v>
      </x:c>
      <x:c r="B162" s="12" t="str">
        <x:v>Event</x:v>
      </x:c>
      <x:c r="C162" s="12" t="n">
        <x:v>81</x:v>
      </x:c>
      <x:c r="D162" s="12" t="str">
        <x:v>Event:81</x:v>
      </x:c>
      <x:c r="E162" s="12" t="str">
        <x:v>not_in_union_audit</x:v>
      </x:c>
      <x:c r="F162" s="12" t="str">
        <x:v>proposed_requires_review</x:v>
      </x:c>
      <x:c r="G162" s="12" t="str">
        <x:v>union_exhaustive_pieces_paragraphes_4-5-6.xlsx</x:v>
      </x:c>
    </x:row>
    <x:row r="163">
      <x:c r="A163" s="12" t="str">
        <x:v>Events id=75-83</x:v>
      </x:c>
      <x:c r="B163" s="12" t="str">
        <x:v>Event</x:v>
      </x:c>
      <x:c r="C163" s="12" t="n">
        <x:v>82</x:v>
      </x:c>
      <x:c r="D163" s="12" t="str">
        <x:v>Event:82</x:v>
      </x:c>
      <x:c r="E163" s="12" t="str">
        <x:v>found</x:v>
      </x:c>
      <x:c r="F163" s="12" t="str">
        <x:v>proposed_requires_review</x:v>
      </x:c>
      <x:c r="G163" s="12" t="str">
        <x:v>union_exhaustive_pieces_paragraphes_4-5-6.xlsx</x:v>
      </x:c>
    </x:row>
    <x:row r="164">
      <x:c r="A164" s="12" t="str">
        <x:v>Events id=75-83</x:v>
      </x:c>
      <x:c r="B164" s="12" t="str">
        <x:v>Event</x:v>
      </x:c>
      <x:c r="C164" s="12" t="n">
        <x:v>83</x:v>
      </x:c>
      <x:c r="D164" s="12" t="str">
        <x:v>Event:83</x:v>
      </x:c>
      <x:c r="E164" s="12" t="str">
        <x:v>found</x:v>
      </x:c>
      <x:c r="F164" s="12" t="str">
        <x:v>proposed_requires_review</x:v>
      </x:c>
      <x:c r="G164" s="12" t="str">
        <x:v>union_exhaustive_pieces_paragraphes_4-5-6.xlsx</x:v>
      </x:c>
    </x:row>
    <x:row r="165">
      <x:c r="A165" s="12" t="str">
        <x:v>Events id=94-103</x:v>
      </x:c>
      <x:c r="B165" s="12" t="str">
        <x:v>Event</x:v>
      </x:c>
      <x:c r="C165" s="12" t="n">
        <x:v>94</x:v>
      </x:c>
      <x:c r="D165" s="12" t="str">
        <x:v>Event:94</x:v>
      </x:c>
      <x:c r="E165" s="12" t="str">
        <x:v>found</x:v>
      </x:c>
      <x:c r="F165" s="12" t="str">
        <x:v>proposed_requires_review</x:v>
      </x:c>
      <x:c r="G165" s="12" t="str">
        <x:v>2015_par_7.md | union_exhaustive_pieces_paragraphes_4-5-6.xlsx</x:v>
      </x:c>
    </x:row>
    <x:row r="166">
      <x:c r="A166" s="12" t="str">
        <x:v>Events id=94-103</x:v>
      </x:c>
      <x:c r="B166" s="12" t="str">
        <x:v>Event</x:v>
      </x:c>
      <x:c r="C166" s="12" t="n">
        <x:v>95</x:v>
      </x:c>
      <x:c r="D166" s="12" t="str">
        <x:v>Event:95</x:v>
      </x:c>
      <x:c r="E166" s="12" t="str">
        <x:v>found</x:v>
      </x:c>
      <x:c r="F166" s="12" t="str">
        <x:v>proposed_requires_review</x:v>
      </x:c>
      <x:c r="G166" s="12" t="str">
        <x:v>2015_par_7.md | union_exhaustive_pieces_paragraphes_4-5-6.xlsx</x:v>
      </x:c>
    </x:row>
    <x:row r="167">
      <x:c r="A167" s="12" t="str">
        <x:v>Events id=94-103</x:v>
      </x:c>
      <x:c r="B167" s="12" t="str">
        <x:v>Event</x:v>
      </x:c>
      <x:c r="C167" s="12" t="n">
        <x:v>96</x:v>
      </x:c>
      <x:c r="D167" s="12" t="str">
        <x:v>Event:96</x:v>
      </x:c>
      <x:c r="E167" s="12" t="str">
        <x:v>found</x:v>
      </x:c>
      <x:c r="F167" s="12" t="str">
        <x:v>proposed_requires_review</x:v>
      </x:c>
      <x:c r="G167" s="12" t="str">
        <x:v>2015_par_7.md | union_exhaustive_pieces_paragraphes_4-5-6.xlsx</x:v>
      </x:c>
    </x:row>
    <x:row r="168">
      <x:c r="A168" s="12" t="str">
        <x:v>Events id=94-103</x:v>
      </x:c>
      <x:c r="B168" s="12" t="str">
        <x:v>Event</x:v>
      </x:c>
      <x:c r="C168" s="12" t="n">
        <x:v>97</x:v>
      </x:c>
      <x:c r="D168" s="12" t="str">
        <x:v>Event:97</x:v>
      </x:c>
      <x:c r="E168" s="12" t="str">
        <x:v>found</x:v>
      </x:c>
      <x:c r="F168" s="12" t="str">
        <x:v>proposed_requires_review</x:v>
      </x:c>
      <x:c r="G168" s="12" t="str">
        <x:v>2015_par_7.md | union_exhaustive_pieces_paragraphes_4-5-6.xlsx</x:v>
      </x:c>
    </x:row>
    <x:row r="169">
      <x:c r="A169" s="12" t="str">
        <x:v>Events id=94-103</x:v>
      </x:c>
      <x:c r="B169" s="12" t="str">
        <x:v>Event</x:v>
      </x:c>
      <x:c r="C169" s="12" t="n">
        <x:v>98</x:v>
      </x:c>
      <x:c r="D169" s="12" t="str">
        <x:v>Event:98</x:v>
      </x:c>
      <x:c r="E169" s="12" t="str">
        <x:v>found</x:v>
      </x:c>
      <x:c r="F169" s="12" t="str">
        <x:v>proposed_requires_review</x:v>
      </x:c>
      <x:c r="G169" s="12" t="str">
        <x:v>2015_par_7.md | union_exhaustive_pieces_paragraphes_4-5-6.xlsx</x:v>
      </x:c>
    </x:row>
    <x:row r="170">
      <x:c r="A170" s="12" t="str">
        <x:v>Events id=94-103</x:v>
      </x:c>
      <x:c r="B170" s="12" t="str">
        <x:v>Event</x:v>
      </x:c>
      <x:c r="C170" s="12" t="n">
        <x:v>99</x:v>
      </x:c>
      <x:c r="D170" s="12" t="str">
        <x:v>Event:99</x:v>
      </x:c>
      <x:c r="E170" s="12" t="str">
        <x:v>found</x:v>
      </x:c>
      <x:c r="F170" s="12" t="str">
        <x:v>proposed_requires_review</x:v>
      </x:c>
      <x:c r="G170" s="12" t="str">
        <x:v>2015_par_7.md | union_exhaustive_pieces_paragraphes_4-5-6.xlsx</x:v>
      </x:c>
    </x:row>
    <x:row r="171">
      <x:c r="A171" s="12" t="str">
        <x:v>Events id=94-103</x:v>
      </x:c>
      <x:c r="B171" s="12" t="str">
        <x:v>Event</x:v>
      </x:c>
      <x:c r="C171" s="12" t="n">
        <x:v>100</x:v>
      </x:c>
      <x:c r="D171" s="12" t="str">
        <x:v>Event:100</x:v>
      </x:c>
      <x:c r="E171" s="12" t="str">
        <x:v>found</x:v>
      </x:c>
      <x:c r="F171" s="12" t="str">
        <x:v>proposed_requires_review</x:v>
      </x:c>
      <x:c r="G171" s="12" t="str">
        <x:v>2015_par_7.md | union_exhaustive_pieces_paragraphes_4-5-6.xlsx</x:v>
      </x:c>
    </x:row>
    <x:row r="172">
      <x:c r="A172" s="12" t="str">
        <x:v>Events id=94-103</x:v>
      </x:c>
      <x:c r="B172" s="12" t="str">
        <x:v>Event</x:v>
      </x:c>
      <x:c r="C172" s="12" t="n">
        <x:v>101</x:v>
      </x:c>
      <x:c r="D172" s="12" t="str">
        <x:v>Event:101</x:v>
      </x:c>
      <x:c r="E172" s="12" t="str">
        <x:v>found</x:v>
      </x:c>
      <x:c r="F172" s="12" t="str">
        <x:v>proposed_requires_review</x:v>
      </x:c>
      <x:c r="G172" s="12" t="str">
        <x:v>2015_par_7.md | union_exhaustive_pieces_paragraphes_4-5-6.xlsx</x:v>
      </x:c>
    </x:row>
    <x:row r="173">
      <x:c r="A173" s="12" t="str">
        <x:v>Events id=94-103</x:v>
      </x:c>
      <x:c r="B173" s="12" t="str">
        <x:v>Event</x:v>
      </x:c>
      <x:c r="C173" s="12" t="n">
        <x:v>102</x:v>
      </x:c>
      <x:c r="D173" s="12" t="str">
        <x:v>Event:102</x:v>
      </x:c>
      <x:c r="E173" s="12" t="str">
        <x:v>found</x:v>
      </x:c>
      <x:c r="F173" s="12" t="str">
        <x:v>proposed_requires_review</x:v>
      </x:c>
      <x:c r="G173" s="12" t="str">
        <x:v>2015_par_7.md | union_exhaustive_pieces_paragraphes_4-5-6.xlsx</x:v>
      </x:c>
    </x:row>
    <x:row r="174">
      <x:c r="A174" s="12" t="str">
        <x:v>Events id=94-103</x:v>
      </x:c>
      <x:c r="B174" s="12" t="str">
        <x:v>Event</x:v>
      </x:c>
      <x:c r="C174" s="12" t="n">
        <x:v>103</x:v>
      </x:c>
      <x:c r="D174" s="12" t="str">
        <x:v>Event:103</x:v>
      </x:c>
      <x:c r="E174" s="12" t="str">
        <x:v>found</x:v>
      </x:c>
      <x:c r="F174" s="12" t="str">
        <x:v>proposed_requires_review</x:v>
      </x:c>
      <x:c r="G174" s="12" t="str">
        <x:v>2015_par_7.md | union_exhaustive_pieces_paragraphes_4-5-6.xlsx</x:v>
      </x:c>
    </x:row>
    <x:row r="175">
      <x:c r="A175" s="12" t="str">
        <x:v>Photos id=4517 à 4522</x:v>
      </x:c>
      <x:c r="B175" s="12" t="str">
        <x:v>Photo</x:v>
      </x:c>
      <x:c r="C175" s="12" t="n">
        <x:v>4517</x:v>
      </x:c>
      <x:c r="D175" s="12" t="str">
        <x:v>Photo:4517</x:v>
      </x:c>
      <x:c r="E175" s="12" t="str">
        <x:v>found</x:v>
      </x:c>
      <x:c r="F175" s="12" t="str">
        <x:v>proposed_requires_review</x:v>
      </x:c>
      <x:c r="G175" s="12" t="str">
        <x:v>2015_par_9.md</x:v>
      </x:c>
    </x:row>
    <x:row r="176">
      <x:c r="A176" s="12" t="str">
        <x:v>Photos id=4517 à 4522</x:v>
      </x:c>
      <x:c r="B176" s="12" t="str">
        <x:v>Photo</x:v>
      </x:c>
      <x:c r="C176" s="12" t="n">
        <x:v>4518</x:v>
      </x:c>
      <x:c r="D176" s="12" t="str">
        <x:v>Photo:4518</x:v>
      </x:c>
      <x:c r="E176" s="12" t="str">
        <x:v>found</x:v>
      </x:c>
      <x:c r="F176" s="12" t="str">
        <x:v>proposed_requires_review</x:v>
      </x:c>
      <x:c r="G176" s="12" t="str">
        <x:v>2015_par_9.md</x:v>
      </x:c>
    </x:row>
    <x:row r="177">
      <x:c r="A177" s="12" t="str">
        <x:v>Photos id=4517 à 4522</x:v>
      </x:c>
      <x:c r="B177" s="12" t="str">
        <x:v>Photo</x:v>
      </x:c>
      <x:c r="C177" s="12" t="n">
        <x:v>4519</x:v>
      </x:c>
      <x:c r="D177" s="12" t="str">
        <x:v>Photo:4519</x:v>
      </x:c>
      <x:c r="E177" s="12" t="str">
        <x:v>found</x:v>
      </x:c>
      <x:c r="F177" s="12" t="str">
        <x:v>proposed_requires_review</x:v>
      </x:c>
      <x:c r="G177" s="12" t="str">
        <x:v>2015_par_9.md</x:v>
      </x:c>
    </x:row>
    <x:row r="178">
      <x:c r="A178" s="12" t="str">
        <x:v>Photos id=4517 à 4522</x:v>
      </x:c>
      <x:c r="B178" s="12" t="str">
        <x:v>Photo</x:v>
      </x:c>
      <x:c r="C178" s="12" t="n">
        <x:v>4520</x:v>
      </x:c>
      <x:c r="D178" s="12" t="str">
        <x:v>Photo:4520</x:v>
      </x:c>
      <x:c r="E178" s="12" t="str">
        <x:v>found</x:v>
      </x:c>
      <x:c r="F178" s="12" t="str">
        <x:v>proposed_requires_review</x:v>
      </x:c>
      <x:c r="G178" s="12" t="str">
        <x:v>2015_par_9.md</x:v>
      </x:c>
    </x:row>
    <x:row r="179">
      <x:c r="A179" s="12" t="str">
        <x:v>Photos id=4517 à 4522</x:v>
      </x:c>
      <x:c r="B179" s="12" t="str">
        <x:v>Photo</x:v>
      </x:c>
      <x:c r="C179" s="12" t="n">
        <x:v>4521</x:v>
      </x:c>
      <x:c r="D179" s="12" t="str">
        <x:v>Photo:4521</x:v>
      </x:c>
      <x:c r="E179" s="12" t="str">
        <x:v>found</x:v>
      </x:c>
      <x:c r="F179" s="12" t="str">
        <x:v>proposed_requires_review</x:v>
      </x:c>
      <x:c r="G179" s="12" t="str">
        <x:v>2015_par_9.md</x:v>
      </x:c>
    </x:row>
    <x:row r="180">
      <x:c r="A180" s="14" t="str">
        <x:v>Photos id=4517 à 4522</x:v>
      </x:c>
      <x:c r="B180" s="14" t="str">
        <x:v>Photo</x:v>
      </x:c>
      <x:c r="C180" s="14" t="n">
        <x:v>4522</x:v>
      </x:c>
      <x:c r="D180" s="14" t="str">
        <x:v>Photo:4522</x:v>
      </x:c>
      <x:c r="E180" s="14" t="str">
        <x:v>found</x:v>
      </x:c>
      <x:c r="F180" s="14" t="str">
        <x:v>proposed_requires_review</x:v>
      </x:c>
      <x:c r="G180" s="14" t="str">
        <x:v>2015_par_9.md</x:v>
      </x:c>
    </x:row>
  </x:sheetData>
  <x:mergeCells>
    <x:mergeCell ref="A1:G1"/>
  </x:mergeCells>
  <x:pageMargins left="0.7" right="0.7" top="0.75" bottom="0.75" header="0.3" footer="0.3"/>
  <x:tableParts count="1">
    <x:tablePart xmlns:r="http://schemas.openxmlformats.org/officeDocument/2006/relationships" r:id="Rc81e47b73690413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12" hidden="0" customWidth="1"/>
    <x:col min="3" max="3" width="45" hidden="0" customWidth="1"/>
    <x:col min="4" max="4" width="32" hidden="0" customWidth="1"/>
    <x:col min="5" max="5" width="12" hidden="0" customWidth="1"/>
    <x:col min="6" max="6" width="24" hidden="0" customWidth="1"/>
    <x:col min="7" max="7" width="16" hidden="0" customWidth="1"/>
    <x:col min="8" max="8" width="45" hidden="0" customWidth="1"/>
    <x:col min="9" max="9" width="85" hidden="0" customWidth="1"/>
  </x:cols>
  <x:sheetData>
    <x:row r="1" ht="28" customHeight="1">
      <x:c r="A1" s="2" t="str">
        <x:v>Placeholders demande</x:v>
      </x:c>
      <x:c r="B1" s="2" t="str">
        <x:v>Placeholders demande</x:v>
      </x:c>
      <x:c r="C1" s="2" t="str">
        <x:v>Placeholders demande</x:v>
      </x:c>
      <x:c r="D1" s="2" t="str">
        <x:v>Placeholders demande</x:v>
      </x:c>
      <x:c r="E1" s="2" t="str">
        <x:v>Placeholders demande</x:v>
      </x:c>
      <x:c r="F1" s="2" t="str">
        <x:v>Placeholders demande</x:v>
      </x:c>
      <x:c r="G1" s="2" t="str">
        <x:v>Placeholders demande</x:v>
      </x:c>
      <x:c r="H1" s="2" t="str">
        <x:v>Placeholders demande</x:v>
      </x:c>
      <x:c r="I1" s="2" t="str">
        <x:v>Placeholders demande</x:v>
      </x:c>
    </x:row>
    <x:row r="3" ht="30" customHeight="1">
      <x:c r="A3" s="4" t="str">
        <x:v>Ligne</x:v>
      </x:c>
      <x:c r="B3" s="4" t="str">
        <x:v>Paragraphe</x:v>
      </x:c>
      <x:c r="C3" s="4" t="str">
        <x:v>Section</x:v>
      </x:c>
      <x:c r="D3" s="4" t="str">
        <x:v>Placeholder</x:v>
      </x:c>
      <x:c r="E3" s="4" t="str">
        <x:v>Occurrence</x:v>
      </x:c>
      <x:c r="F3" s="4" t="str">
        <x:v>État</x:v>
      </x:c>
      <x:c r="G3" s="4" t="str">
        <x:v>Cote proposée</x:v>
      </x:c>
      <x:c r="H3" s="4" t="str">
        <x:v>Fondement</x:v>
      </x:c>
      <x:c r="I3" s="4" t="str">
        <x:v>Contexte</x:v>
      </x:c>
    </x:row>
    <x:row r="4">
      <x:c r="A4" s="10" t="n">
        <x:v>5</x:v>
      </x:c>
      <x:c r="B4" s="10" t="str">
        <x:v>1</x:v>
      </x:c>
      <x:c r="C4" s="10" t="str">
        <x:v>La chaîne causale alléguée</x:v>
      </x:c>
      <x:c r="D4" s="10" t="str">
        <x:v>P-[●]</x:v>
      </x:c>
      <x:c r="E4" s="10" t="n">
        <x:v>1</x:v>
      </x:c>
      <x:c r="F4" s="10" t="str">
        <x:v>context_required</x:v>
      </x:c>
      <x:c r="G4" s="10" t="str"/>
      <x:c r="H4" s="10" t="str">
        <x:v>generic_or_section_local_placeholder</x:v>
      </x:c>
      <x:c r="I4" s="10" t="str">
        <x:v>1. Le 19 novembre 2015, dans le dossier de la Cour supérieure portant le numéro 505-04-024603-151, la défenderesse, alors demanderesse, a produit une requête appuyée de son serment, laquelle est produite au soutien des présentes comme pièce P-[●].</x:v>
      </x:c>
    </x:row>
    <x:row r="5">
      <x:c r="A5" s="12" t="n">
        <x:v>37</x:v>
      </x:c>
      <x:c r="B5" s="12" t="str">
        <x:v>13</x:v>
      </x:c>
      <x:c r="C5" s="12" t="str">
        <x:v>Les faits admis et la question contestée</x:v>
      </x:c>
      <x:c r="D5" s="12" t="str">
        <x:v>P-[●]</x:v>
      </x:c>
      <x:c r="E5" s="12" t="n">
        <x:v>1</x:v>
      </x:c>
      <x:c r="F5" s="12" t="str">
        <x:v>context_required</x:v>
      </x:c>
      <x:c r="G5" s="12" t="str"/>
      <x:c r="H5" s="12" t="str">
        <x:v>generic_or_section_local_placeholder</x:v>
      </x:c>
      <x:c r="I5" s="12" t="str">
        <x:v>13. Les parties ont néanmoins repris la vie commune après cette séparation temporaire, laquelle s’est poursuivie jusqu’au départ du demandeur le 23 février 2015, tel qu’il appert de la pièce P-[●].</x:v>
      </x:c>
    </x:row>
    <x:row r="6">
      <x:c r="A6" s="12" t="n">
        <x:v>57</x:v>
      </x:c>
      <x:c r="B6" s="12" t="str">
        <x:v>21</x:v>
      </x:c>
      <x:c r="C6" s="12" t="str">
        <x:v>Les routines de garderie et d’école</x:v>
      </x:c>
      <x:c r="D6" s="12" t="str">
        <x:v>P-[●]</x:v>
      </x:c>
      <x:c r="E6" s="12" t="n">
        <x:v>1</x:v>
      </x:c>
      <x:c r="F6" s="12" t="str">
        <x:v>context_required</x:v>
      </x:c>
      <x:c r="G6" s="12" t="str"/>
      <x:c r="H6" s="12" t="str">
        <x:v>generic_or_section_local_placeholder</x:v>
      </x:c>
      <x:c r="I6" s="12" t="str">
        <x:v>21. Le 24 novembre 2011, le demandeur a demandé à la défenderesse, au sujet de la sortie de garderie d’Alexia : « vas-tu la chercher ou j’y vais? », tel qu’il appert de la pièce P-[●].</x:v>
      </x:c>
    </x:row>
    <x:row r="7">
      <x:c r="A7" s="12" t="n">
        <x:v>61</x:v>
      </x:c>
      <x:c r="B7" s="12" t="str">
        <x:v>23</x:v>
      </x:c>
      <x:c r="C7" s="12" t="str">
        <x:v>Les routines de garderie et d’école</x:v>
      </x:c>
      <x:c r="D7" s="12" t="str">
        <x:v>P-[●]</x:v>
      </x:c>
      <x:c r="E7" s="12" t="n">
        <x:v>1</x:v>
      </x:c>
      <x:c r="F7" s="12" t="str">
        <x:v>context_required</x:v>
      </x:c>
      <x:c r="G7" s="12" t="str"/>
      <x:c r="H7" s="12" t="str">
        <x:v>generic_or_section_local_placeholder</x:v>
      </x:c>
      <x:c r="I7" s="12" t="str">
        <x:v>23. Les 18 et 19 octobre 2012, le demandeur a accompagné Alexia à pied le matin à son établissement de garde ou d’enseignement, tel qu’il appert des photographies et renseignements contemporains produits en liasse comme pièce P-[●].</x:v>
      </x:c>
    </x:row>
    <x:row r="8">
      <x:c r="A8" s="12" t="n">
        <x:v>63</x:v>
      </x:c>
      <x:c r="B8" s="12" t="str">
        <x:v>24</x:v>
      </x:c>
      <x:c r="C8" s="12" t="str">
        <x:v>Les routines de garderie et d’école</x:v>
      </x:c>
      <x:c r="D8" s="12" t="str">
        <x:v>P-[●]</x:v>
      </x:c>
      <x:c r="E8" s="12" t="n">
        <x:v>1</x:v>
      </x:c>
      <x:c r="F8" s="12" t="str">
        <x:v>context_required</x:v>
      </x:c>
      <x:c r="G8" s="12" t="str"/>
      <x:c r="H8" s="12" t="str">
        <x:v>generic_or_section_local_placeholder</x:v>
      </x:c>
      <x:c r="I8" s="12" t="str">
        <x:v>24. Le 6 mars 2013, le demandeur a écrit qu’il planifiait sa matinée en fonction du dépôt d’Alexia à la garderie, tel qu’il appert de la pièce P-[●].</x:v>
      </x:c>
    </x:row>
    <x:row r="9">
      <x:c r="A9" s="12" t="n">
        <x:v>65</x:v>
      </x:c>
      <x:c r="B9" s="12" t="str">
        <x:v>25</x:v>
      </x:c>
      <x:c r="C9" s="12" t="str">
        <x:v>Les routines de garderie et d’école</x:v>
      </x:c>
      <x:c r="D9" s="12" t="str">
        <x:v>P-[●]</x:v>
      </x:c>
      <x:c r="E9" s="12" t="n">
        <x:v>1</x:v>
      </x:c>
      <x:c r="F9" s="12" t="str">
        <x:v>context_required</x:v>
      </x:c>
      <x:c r="G9" s="12" t="str"/>
      <x:c r="H9" s="12" t="str">
        <x:v>generic_or_section_local_placeholder</x:v>
      </x:c>
      <x:c r="I9" s="12" t="str">
        <x:v>25. Le 16 février 2015, soit sept jours avant son départ, la mère du demandeur lui a écrit qu’il n’avait pas à se rendre à la garderie puisqu’elle effectuerait elle-même le déplacement, tel qu’il appert de la pièce P-[●].</x:v>
      </x:c>
    </x:row>
    <x:row r="10">
      <x:c r="A10" s="12" t="n">
        <x:v>71</x:v>
      </x:c>
      <x:c r="B10" s="12" t="str">
        <x:v>27</x:v>
      </x:c>
      <x:c r="C10" s="12" t="str">
        <x:v>Les prises en charge en soirée</x:v>
      </x:c>
      <x:c r="D10" s="12" t="str">
        <x:v>P-[●]</x:v>
      </x:c>
      <x:c r="E10" s="12" t="n">
        <x:v>1</x:v>
      </x:c>
      <x:c r="F10" s="12" t="str">
        <x:v>context_required</x:v>
      </x:c>
      <x:c r="G10" s="12" t="str"/>
      <x:c r="H10" s="12" t="str">
        <x:v>generic_or_section_local_placeholder</x:v>
      </x:c>
      <x:c r="I10" s="12" t="str">
        <x:v>27. Le 9 décembre 2010, le demandeur a écrit à sa mère qu’il lui avait déjà indiqué que la défenderesse dansait les mardis et mercredis, tel qu’il appert de la pièce P-[●].</x:v>
      </x:c>
    </x:row>
    <x:row r="11">
      <x:c r="A11" s="12" t="n">
        <x:v>73</x:v>
      </x:c>
      <x:c r="B11" s="12" t="str">
        <x:v>28</x:v>
      </x:c>
      <x:c r="C11" s="12" t="str">
        <x:v>Les prises en charge en soirée</x:v>
      </x:c>
      <x:c r="D11" s="12" t="str">
        <x:v>P-[●]</x:v>
      </x:c>
      <x:c r="E11" s="12" t="n">
        <x:v>1</x:v>
      </x:c>
      <x:c r="F11" s="12" t="str">
        <x:v>context_required</x:v>
      </x:c>
      <x:c r="G11" s="12" t="str"/>
      <x:c r="H11" s="12" t="str">
        <x:v>generic_or_section_local_placeholder</x:v>
      </x:c>
      <x:c r="I11" s="12" t="str">
        <x:v>28. Les 9 et 16 février 2011, malgré la séparation physique alors amorcée entre les parties, le demandeur a assuré la routine du soir d’Alexia pendant que la défenderesse participait à ses cours de danse, tel qu’il appert de la pièce P-[●] en liasse.</x:v>
      </x:c>
    </x:row>
    <x:row r="12">
      <x:c r="A12" s="12" t="n">
        <x:v>75</x:v>
      </x:c>
      <x:c r="B12" s="12" t="str">
        <x:v>29</x:v>
      </x:c>
      <x:c r="C12" s="12" t="str">
        <x:v>Les prises en charge en soirée</x:v>
      </x:c>
      <x:c r="D12" s="12" t="str">
        <x:v>P-[●]</x:v>
      </x:c>
      <x:c r="E12" s="12" t="n">
        <x:v>1</x:v>
      </x:c>
      <x:c r="F12" s="12" t="str">
        <x:v>context_required</x:v>
      </x:c>
      <x:c r="G12" s="12" t="str"/>
      <x:c r="H12" s="12" t="str">
        <x:v>generic_or_section_local_placeholder</x:v>
      </x:c>
      <x:c r="I12" s="12" t="str">
        <x:v>29. Le 6 mars 2012, le demandeur a écrit à la défenderesse qu’il devait être à la maison de bonne heure ce soir-là parce qu’elle dansait, tel qu’il appert de la pièce P-[●].</x:v>
      </x:c>
    </x:row>
    <x:row r="13">
      <x:c r="A13" s="12" t="n">
        <x:v>77</x:v>
      </x:c>
      <x:c r="B13" s="12" t="str">
        <x:v>30</x:v>
      </x:c>
      <x:c r="C13" s="12" t="str">
        <x:v>Les prises en charge en soirée</x:v>
      </x:c>
      <x:c r="D13" s="12" t="str">
        <x:v>P-[●]</x:v>
      </x:c>
      <x:c r="E13" s="12" t="n">
        <x:v>1</x:v>
      </x:c>
      <x:c r="F13" s="12" t="str">
        <x:v>context_required</x:v>
      </x:c>
      <x:c r="G13" s="12" t="str"/>
      <x:c r="H13" s="12" t="str">
        <x:v>generic_or_section_local_placeholder</x:v>
      </x:c>
      <x:c r="I13" s="12" t="str">
        <x:v>30. Les 27 janvier et 3 mars 2014, le demandeur était à la résidence avec Alexia et Nicolas pendant que la défenderesse participait à ses cours de danse, tel qu’il appert de la pièce P-[●] en liasse.</x:v>
      </x:c>
    </x:row>
    <x:row r="14">
      <x:c r="A14" s="12" t="n">
        <x:v>83</x:v>
      </x:c>
      <x:c r="B14" s="12" t="str">
        <x:v>32</x:v>
      </x:c>
      <x:c r="C14" s="12" t="str">
        <x:v>Les activités et la présence auprès d’Alexia</x:v>
      </x:c>
      <x:c r="D14" s="12" t="str">
        <x:v>P-[●]</x:v>
      </x:c>
      <x:c r="E14" s="12" t="n">
        <x:v>1</x:v>
      </x:c>
      <x:c r="F14" s="12" t="str">
        <x:v>context_required</x:v>
      </x:c>
      <x:c r="G14" s="12" t="str"/>
      <x:c r="H14" s="12" t="str">
        <x:v>generic_or_section_local_placeholder</x:v>
      </x:c>
      <x:c r="I14" s="12" t="str">
        <x:v>32. Le 7 mai 2011, le demandeur a accompagné Alexia à son cours de natation au YMCA, tel qu’il appert de la pièce P-[●].</x:v>
      </x:c>
    </x:row>
    <x:row r="15">
      <x:c r="A15" s="12" t="n">
        <x:v>85</x:v>
      </x:c>
      <x:c r="B15" s="12" t="str">
        <x:v>33</x:v>
      </x:c>
      <x:c r="C15" s="12" t="str">
        <x:v>Les activités et la présence auprès d’Alexia</x:v>
      </x:c>
      <x:c r="D15" s="12" t="str">
        <x:v>P-[●]</x:v>
      </x:c>
      <x:c r="E15" s="12" t="n">
        <x:v>1</x:v>
      </x:c>
      <x:c r="F15" s="12" t="str">
        <x:v>context_required</x:v>
      </x:c>
      <x:c r="G15" s="12" t="str"/>
      <x:c r="H15" s="12" t="str">
        <x:v>generic_or_section_local_placeholder</x:v>
      </x:c>
      <x:c r="I15" s="12" t="str">
        <x:v>33. Les 11 décembre 2011 et 29 janvier 2012, le demandeur était présent aux cours d’AcroGym d’Alexia, tel qu’il appert de la pièce P-[●] en liasse.</x:v>
      </x:c>
    </x:row>
    <x:row r="16">
      <x:c r="A16" s="12" t="n">
        <x:v>87</x:v>
      </x:c>
      <x:c r="B16" s="12" t="str">
        <x:v>34</x:v>
      </x:c>
      <x:c r="C16" s="12" t="str">
        <x:v>Les activités et la présence auprès d’Alexia</x:v>
      </x:c>
      <x:c r="D16" s="12" t="str">
        <x:v>P-[●]</x:v>
      </x:c>
      <x:c r="E16" s="12" t="n">
        <x:v>1</x:v>
      </x:c>
      <x:c r="F16" s="12" t="str">
        <x:v>context_required</x:v>
      </x:c>
      <x:c r="G16" s="12" t="str"/>
      <x:c r="H16" s="12" t="str">
        <x:v>generic_or_section_local_placeholder</x:v>
      </x:c>
      <x:c r="I16" s="12" t="str">
        <x:v>34. Les 28 mai et 24 août 2013, le demandeur était présent respectivement à une activité de soccer d’Alexia et à la remise de ses médailles de fin de saison, tel qu’il appert de la pièce P-[●] en liasse.</x:v>
      </x:c>
    </x:row>
    <x:row r="17">
      <x:c r="A17" s="12" t="n">
        <x:v>89</x:v>
      </x:c>
      <x:c r="B17" s="12" t="str">
        <x:v>35</x:v>
      </x:c>
      <x:c r="C17" s="12" t="str">
        <x:v>Les activités et la présence auprès d’Alexia</x:v>
      </x:c>
      <x:c r="D17" s="12" t="str">
        <x:v>P-[●]</x:v>
      </x:c>
      <x:c r="E17" s="12" t="n">
        <x:v>1</x:v>
      </x:c>
      <x:c r="F17" s="12" t="str">
        <x:v>context_required</x:v>
      </x:c>
      <x:c r="G17" s="12" t="str"/>
      <x:c r="H17" s="12" t="str">
        <x:v>generic_or_section_local_placeholder</x:v>
      </x:c>
      <x:c r="I17" s="12" t="str">
        <x:v>35. Entre le 27 juin 2013 et le 16 mars 2014, le demandeur a accompagné Alexia à plusieurs reprises à un centre d’escalade, tel qu’il appert des photographies horodatées produites comme pièce P-[●] en liasse.</x:v>
      </x:c>
    </x:row>
    <x:row r="18">
      <x:c r="A18" s="12" t="n">
        <x:v>91</x:v>
      </x:c>
      <x:c r="B18" s="12" t="str">
        <x:v>36</x:v>
      </x:c>
      <x:c r="C18" s="12" t="str">
        <x:v>Les activités et la présence auprès d’Alexia</x:v>
      </x:c>
      <x:c r="D18" s="12" t="str">
        <x:v>P-[●]</x:v>
      </x:c>
      <x:c r="E18" s="12" t="n">
        <x:v>1</x:v>
      </x:c>
      <x:c r="F18" s="12" t="str">
        <x:v>context_required</x:v>
      </x:c>
      <x:c r="G18" s="12" t="str"/>
      <x:c r="H18" s="12" t="str">
        <x:v>generic_or_section_local_placeholder</x:v>
      </x:c>
      <x:c r="I18" s="12" t="str">
        <x:v>36. Entre novembre 2010 et mai 2013, le demandeur était également présent avec Alexia dans différents parcs et lieux d’activités à au moins quinze occasions documentées par des photographies horodatées produites en liasse comme pièce P-[●].</x:v>
      </x:c>
    </x:row>
    <x:row r="19">
      <x:c r="A19" s="12" t="n">
        <x:v>93</x:v>
      </x:c>
      <x:c r="B19" s="12" t="str">
        <x:v>37</x:v>
      </x:c>
      <x:c r="C19" s="12" t="str">
        <x:v>Les activités et la présence auprès d’Alexia</x:v>
      </x:c>
      <x:c r="D19" s="12" t="str">
        <x:v>P-[●]</x:v>
      </x:c>
      <x:c r="E19" s="12" t="n">
        <x:v>1</x:v>
      </x:c>
      <x:c r="F19" s="12" t="str">
        <x:v>context_required</x:v>
      </x:c>
      <x:c r="G19" s="12" t="str"/>
      <x:c r="H19" s="12" t="str">
        <x:v>generic_or_section_local_placeholder</x:v>
      </x:c>
      <x:c r="I19" s="12" t="str">
        <x:v>37. Alexia participait également à des repas, fêtes et activités au sein de la famille paternelle, auxquels le demandeur l’accompagnait, tel qu’il appert de la pièce P-[●] en liasse.</x:v>
      </x:c>
    </x:row>
    <x:row r="20">
      <x:c r="A20" s="12" t="n">
        <x:v>97</x:v>
      </x:c>
      <x:c r="B20" s="12" t="str">
        <x:v>38</x:v>
      </x:c>
      <x:c r="C20" s="12" t="str">
        <x:v>La situation des parties avant le départ</x:v>
      </x:c>
      <x:c r="D20" s="12" t="str">
        <x:v>P-[●]</x:v>
      </x:c>
      <x:c r="E20" s="12" t="n">
        <x:v>1</x:v>
      </x:c>
      <x:c r="F20" s="12" t="str">
        <x:v>context_required</x:v>
      </x:c>
      <x:c r="G20" s="12" t="str"/>
      <x:c r="H20" s="12" t="str">
        <x:v>generic_or_section_local_placeholder</x:v>
      </x:c>
      <x:c r="I20" s="12" t="str">
        <x:v>38. En août 2014, la défenderesse a reçu du demandeur un prêt de 9 000 $, remboursable au moyen de crédits mensuels de loyer, tel qu’il appert des pièces P-[●] et P-[●].</x:v>
      </x:c>
    </x:row>
    <x:row r="21">
      <x:c r="A21" s="12" t="n">
        <x:v>97</x:v>
      </x:c>
      <x:c r="B21" s="12" t="str">
        <x:v>38</x:v>
      </x:c>
      <x:c r="C21" s="12" t="str">
        <x:v>La situation des parties avant le départ</x:v>
      </x:c>
      <x:c r="D21" s="12" t="str">
        <x:v>P-[●]</x:v>
      </x:c>
      <x:c r="E21" s="12" t="n">
        <x:v>2</x:v>
      </x:c>
      <x:c r="F21" s="12" t="str">
        <x:v>context_required</x:v>
      </x:c>
      <x:c r="G21" s="12" t="str"/>
      <x:c r="H21" s="12" t="str">
        <x:v>generic_or_section_local_placeholder</x:v>
      </x:c>
      <x:c r="I21" s="12" t="str">
        <x:v>38. En août 2014, la défenderesse a reçu du demandeur un prêt de 9 000 $, remboursable au moyen de crédits mensuels de loyer, tel qu’il appert des pièces P-[●] et P-[●].</x:v>
      </x:c>
    </x:row>
    <x:row r="22">
      <x:c r="A22" s="12" t="n">
        <x:v>99</x:v>
      </x:c>
      <x:c r="B22" s="12" t="str">
        <x:v>39</x:v>
      </x:c>
      <x:c r="C22" s="12" t="str">
        <x:v>La situation des parties avant le départ</x:v>
      </x:c>
      <x:c r="D22" s="12" t="str">
        <x:v>P-[●]</x:v>
      </x:c>
      <x:c r="E22" s="12" t="n">
        <x:v>1</x:v>
      </x:c>
      <x:c r="F22" s="12" t="str">
        <x:v>context_required</x:v>
      </x:c>
      <x:c r="G22" s="12" t="str"/>
      <x:c r="H22" s="12" t="str">
        <x:v>generic_or_section_local_placeholder</x:v>
      </x:c>
      <x:c r="I22" s="12" t="str">
        <x:v>39. Le 3 novembre 2014, la défenderesse a demandé au demandeur de lui prêter une somme supplémentaire de 1 000 $, tel qu’il appert de la pièce P-[●].</x:v>
      </x:c>
    </x:row>
    <x:row r="23">
      <x:c r="A23" s="12" t="n">
        <x:v>101</x:v>
      </x:c>
      <x:c r="B23" s="12" t="str">
        <x:v>40</x:v>
      </x:c>
      <x:c r="C23" s="12" t="str">
        <x:v>La situation des parties avant le départ</x:v>
      </x:c>
      <x:c r="D23" s="12" t="str">
        <x:v>P-[●]</x:v>
      </x:c>
      <x:c r="E23" s="12" t="n">
        <x:v>1</x:v>
      </x:c>
      <x:c r="F23" s="12" t="str">
        <x:v>context_required</x:v>
      </x:c>
      <x:c r="G23" s="12" t="str"/>
      <x:c r="H23" s="12" t="str">
        <x:v>generic_or_section_local_placeholder</x:v>
      </x:c>
      <x:c r="I23" s="12" t="str">
        <x:v>40. Le 4 novembre 2014, la défenderesse a écrit au demandeur que le temps consacré à « nous 4 » était important, tel qu’il appert de la pièce P-[●].</x:v>
      </x:c>
    </x:row>
    <x:row r="24">
      <x:c r="A24" s="12" t="n">
        <x:v>103</x:v>
      </x:c>
      <x:c r="B24" s="12" t="str">
        <x:v>41</x:v>
      </x:c>
      <x:c r="C24" s="12" t="str">
        <x:v>La situation des parties avant le départ</x:v>
      </x:c>
      <x:c r="D24" s="12" t="str">
        <x:v>P-[●]</x:v>
      </x:c>
      <x:c r="E24" s="12" t="n">
        <x:v>1</x:v>
      </x:c>
      <x:c r="F24" s="12" t="str">
        <x:v>context_required</x:v>
      </x:c>
      <x:c r="G24" s="12" t="str"/>
      <x:c r="H24" s="12" t="str">
        <x:v>generic_or_section_local_placeholder</x:v>
      </x:c>
      <x:c r="I24" s="12" t="str">
        <x:v>41. En novembre et décembre 2014, les parties ont continué à coordonner les soins et les besoins des enfants, notamment l’achat de vêtements, une consultation médicale urgente et l’administration de médicaments, tel qu’il appert de la pièce P-[●].</x:v>
      </x:c>
    </x:row>
    <x:row r="25">
      <x:c r="A25" s="12" t="n">
        <x:v>105</x:v>
      </x:c>
      <x:c r="B25" s="12" t="str">
        <x:v>42</x:v>
      </x:c>
      <x:c r="C25" s="12" t="str">
        <x:v>La situation des parties avant le départ</x:v>
      </x:c>
      <x:c r="D25" s="12" t="str">
        <x:v>P-[●]</x:v>
      </x:c>
      <x:c r="E25" s="12" t="n">
        <x:v>1</x:v>
      </x:c>
      <x:c r="F25" s="12" t="str">
        <x:v>context_required</x:v>
      </x:c>
      <x:c r="G25" s="12" t="str"/>
      <x:c r="H25" s="12" t="str">
        <x:v>generic_or_section_local_placeholder</x:v>
      </x:c>
      <x:c r="I25" s="12" t="str">
        <x:v>42. Le 2 février 2015, alors que les parties discutaient du départ prochain du demandeur, celui-ci a offert à la défenderesse de financer un matelas et des électroménagers destinés à la résidence, tel qu’il appert de la pièce P-[●].</x:v>
      </x:c>
    </x:row>
    <x:row r="26">
      <x:c r="A26" s="12" t="n">
        <x:v>107</x:v>
      </x:c>
      <x:c r="B26" s="12" t="str">
        <x:v>43</x:v>
      </x:c>
      <x:c r="C26" s="12" t="str">
        <x:v>La situation des parties avant le départ</x:v>
      </x:c>
      <x:c r="D26" s="12" t="str">
        <x:v>P-[●]</x:v>
      </x:c>
      <x:c r="E26" s="12" t="n">
        <x:v>1</x:v>
      </x:c>
      <x:c r="F26" s="12" t="str">
        <x:v>context_required</x:v>
      </x:c>
      <x:c r="G26" s="12" t="str"/>
      <x:c r="H26" s="12" t="str">
        <x:v>generic_or_section_local_placeholder</x:v>
      </x:c>
      <x:c r="I26" s="12" t="str">
        <x:v>43. Le 3 février 2015, le demandeur a offert à la défenderesse de demeurer disponible à proximité après son départ, tel qu’il appert de la pièce P-[●].</x:v>
      </x:c>
    </x:row>
    <x:row r="27">
      <x:c r="A27" s="12" t="n">
        <x:v>109</x:v>
      </x:c>
      <x:c r="B27" s="12" t="str">
        <x:v>44</x:v>
      </x:c>
      <x:c r="C27" s="12" t="str">
        <x:v>La situation des parties avant le départ</x:v>
      </x:c>
      <x:c r="D27" s="12" t="str">
        <x:v>P-[●]</x:v>
      </x:c>
      <x:c r="E27" s="12" t="n">
        <x:v>1</x:v>
      </x:c>
      <x:c r="F27" s="12" t="str">
        <x:v>context_required</x:v>
      </x:c>
      <x:c r="G27" s="12" t="str"/>
      <x:c r="H27" s="12" t="str">
        <x:v>generic_or_section_local_placeholder</x:v>
      </x:c>
      <x:c r="I27" s="12" t="str">
        <x:v>44. Le même jour, la défenderesse a écrit au demandeur qu’il avait décidé de partir rapidement et qu’il ne lui en avait pas préalablement parlé, tel qu’il appert de la pièce P-[●].</x:v>
      </x:c>
    </x:row>
    <x:row r="28">
      <x:c r="A28" s="12" t="n">
        <x:v>113</x:v>
      </x:c>
      <x:c r="B28" s="12" t="str">
        <x:v>46</x:v>
      </x:c>
      <x:c r="C28" s="12" t="str">
        <x:v>La situation des parties avant le départ</x:v>
      </x:c>
      <x:c r="D28" s="12" t="str">
        <x:v>P-[●]</x:v>
      </x:c>
      <x:c r="E28" s="12" t="n">
        <x:v>1</x:v>
      </x:c>
      <x:c r="F28" s="12" t="str">
        <x:v>context_required</x:v>
      </x:c>
      <x:c r="G28" s="12" t="str"/>
      <x:c r="H28" s="12" t="str">
        <x:v>generic_or_section_local_placeholder</x:v>
      </x:c>
      <x:c r="I28" s="12" t="str">
        <x:v>46. Dans le même échange, la défenderesse a proposé une sortie familiale à la cabane à sucre au mois de mars, tel qu’il appert de la pièce P-[●].</x:v>
      </x:c>
    </x:row>
    <x:row r="29">
      <x:c r="A29" s="12" t="n">
        <x:v>115</x:v>
      </x:c>
      <x:c r="B29" s="12" t="str">
        <x:v>47</x:v>
      </x:c>
      <x:c r="C29" s="12" t="str">
        <x:v>La situation des parties avant le départ</x:v>
      </x:c>
      <x:c r="D29" s="12" t="str">
        <x:v>P-[●]</x:v>
      </x:c>
      <x:c r="E29" s="12" t="n">
        <x:v>1</x:v>
      </x:c>
      <x:c r="F29" s="12" t="str">
        <x:v>context_required</x:v>
      </x:c>
      <x:c r="G29" s="12" t="str"/>
      <x:c r="H29" s="12" t="str">
        <x:v>generic_or_section_local_placeholder</x:v>
      </x:c>
      <x:c r="I29" s="12" t="str">
        <x:v>47. Le 27 février 2015, la défenderesse a écrit au demandeur que les parties avaient été conjointes de fait jusqu’à la rupture de février 2015, qu’elles ne faisaient pas chambre à part et qu’elles avaient des activités communes, tel qu’il appert de la pièce P-[●].</x:v>
      </x:c>
    </x:row>
    <x:row r="30">
      <x:c r="A30" s="12" t="n">
        <x:v>125</x:v>
      </x:c>
      <x:c r="B30" s="12" t="str">
        <x:v>51</x:v>
      </x:c>
      <x:c r="C30" s="12" t="str">
        <x:v>La réponse de la défenderesse du 11 janvier 2016</x:v>
      </x:c>
      <x:c r="D30" s="12" t="str">
        <x:v>P-[●]</x:v>
      </x:c>
      <x:c r="E30" s="12" t="n">
        <x:v>1</x:v>
      </x:c>
      <x:c r="F30" s="12" t="str">
        <x:v>context_required</x:v>
      </x:c>
      <x:c r="G30" s="12" t="str"/>
      <x:c r="H30" s="12" t="str">
        <x:v>generic_or_section_local_placeholder</x:v>
      </x:c>
      <x:c r="I30" s="12" t="str">
        <x:v>51. Le 11 janvier 2016, le demandeur a interpellé la défenderesse au sujet de l’allégation selon laquelle il n’aurait pas été impliqué auprès d’Alexia lorsqu’il vivait à la résidence familiale, tel qu’il appert de la pièce P-[●].</x:v>
      </x:c>
    </x:row>
    <x:row r="31">
      <x:c r="A31" s="12" t="n">
        <x:v>173</x:v>
      </x:c>
      <x:c r="B31" s="12" t="str">
        <x:v>69</x:v>
      </x:c>
      <x:c r="C31" s="12" t="str">
        <x:v>LA PRÉSENTATION DE LA SÉPARATION DE 2011 ET DE L’IMPLICATION PARENTALE DU DEMANDEUR</x:v>
      </x:c>
      <x:c r="D31" s="12" t="str">
        <x:v>P-[●]</x:v>
      </x:c>
      <x:c r="E31" s="12" t="n">
        <x:v>1</x:v>
      </x:c>
      <x:c r="F31" s="12" t="str">
        <x:v>context_required</x:v>
      </x:c>
      <x:c r="G31" s="12" t="str"/>
      <x:c r="H31" s="12" t="str">
        <x:v>generic_or_section_local_placeholder</x:v>
      </x:c>
      <x:c r="I31" s="12" t="str">
        <x:v>le tout tel qu’il appert de la requête du 19 novembre 2015, communiquée au soutien des présentes comme pièce P-[●];</x:v>
      </x:c>
    </x:row>
    <x:row r="32">
      <x:c r="A32" s="12" t="n">
        <x:v>181</x:v>
      </x:c>
      <x:c r="B32" s="12" t="str">
        <x:v>72</x:v>
      </x:c>
      <x:c r="C32" s="12" t="str">
        <x:v>L’infidélité, le départ et la thérapie</x:v>
      </x:c>
      <x:c r="D32" s="12" t="str">
        <x:v>P-[●]</x:v>
      </x:c>
      <x:c r="E32" s="12" t="n">
        <x:v>1</x:v>
      </x:c>
      <x:c r="F32" s="12" t="str">
        <x:v>context_required</x:v>
      </x:c>
      <x:c r="G32" s="12" t="str"/>
      <x:c r="H32" s="12" t="str">
        <x:v>generic_or_section_local_placeholder</x:v>
      </x:c>
      <x:c r="I32" s="12" t="str">
        <x:v>72. De février 2011 à janvier 2012, les parties ont participé à une thérapie de couple auprès du psychologue Marc Pistorio, comme l’établissent les factures produites en liasse comme pièce P-[●];</x:v>
      </x:c>
    </x:row>
    <x:row r="33">
      <x:c r="A33" s="12" t="n">
        <x:v>187</x:v>
      </x:c>
      <x:c r="B33" s="12" t="str">
        <x:v>74</x:v>
      </x:c>
      <x:c r="C33" s="12" t="str">
        <x:v>La durée de la résidence distincte</x:v>
      </x:c>
      <x:c r="D33" s="12" t="str">
        <x:v>P-[●]</x:v>
      </x:c>
      <x:c r="E33" s="12" t="n">
        <x:v>1</x:v>
      </x:c>
      <x:c r="F33" s="12" t="str">
        <x:v>context_required</x:v>
      </x:c>
      <x:c r="G33" s="12" t="str"/>
      <x:c r="H33" s="12" t="str">
        <x:v>generic_or_section_local_placeholder</x:v>
      </x:c>
      <x:c r="I33" s="12" t="str">
        <x:v>74. Du 1er février au 29 mai 2011, le demandeur était titulaire du compte d’électricité d’un logement situé au 311, rue Riverside, à Saint-Lambert, comme l’établit le relevé d’Hydro-Québec produit comme pièce P-[●];</x:v>
      </x:c>
    </x:row>
    <x:row r="34">
      <x:c r="A34" s="12" t="n">
        <x:v>191</x:v>
      </x:c>
      <x:c r="B34" s="12" t="str">
        <x:v>76</x:v>
      </x:c>
      <x:c r="C34" s="12" t="str">
        <x:v>La durée de la résidence distincte</x:v>
      </x:c>
      <x:c r="D34" s="12" t="str">
        <x:v>P-[●]</x:v>
      </x:c>
      <x:c r="E34" s="12" t="n">
        <x:v>1</x:v>
      </x:c>
      <x:c r="F34" s="12" t="str">
        <x:v>context_required</x:v>
      </x:c>
      <x:c r="G34" s="12" t="str"/>
      <x:c r="H34" s="12" t="str">
        <x:v>generic_or_section_local_placeholder</x:v>
      </x:c>
      <x:c r="I34" s="12" t="str">
        <x:v>76. Durant cette même période, le demandeur est demeuré titulaire ou responsable du compte d’électricité de la résidence familiale, comme l’établit également la pièce P-[●];</x:v>
      </x:c>
    </x:row>
    <x:row r="35">
      <x:c r="A35" s="12" t="n">
        <x:v>195</x:v>
      </x:c>
      <x:c r="B35" s="12" t="str">
        <x:v>78</x:v>
      </x:c>
      <x:c r="C35" s="12" t="str">
        <x:v>La durée de la résidence distincte</x:v>
      </x:c>
      <x:c r="D35" s="12" t="str">
        <x:v>P-[●]</x:v>
      </x:c>
      <x:c r="E35" s="12" t="n">
        <x:v>1</x:v>
      </x:c>
      <x:c r="F35" s="12" t="str">
        <x:v>context_required</x:v>
      </x:c>
      <x:c r="G35" s="12" t="str"/>
      <x:c r="H35" s="12" t="str">
        <x:v>generic_or_section_local_placeholder</x:v>
      </x:c>
      <x:c r="I35" s="12" t="str">
        <x:v>78. Le 24 juillet 2011, le demandeur, Mme Ayoub et leur fille Alexia ont participé ensemble à une activité familiale au parc Alexandra, comme l’établit la pièce P-[●];</x:v>
      </x:c>
    </x:row>
    <x:row r="36">
      <x:c r="A36" s="12" t="n">
        <x:v>197</x:v>
      </x:c>
      <x:c r="B36" s="12" t="str">
        <x:v>79</x:v>
      </x:c>
      <x:c r="C36" s="12" t="str">
        <x:v>La durée de la résidence distincte</x:v>
      </x:c>
      <x:c r="D36" s="12" t="str">
        <x:v>P-[●]</x:v>
      </x:c>
      <x:c r="E36" s="12" t="n">
        <x:v>1</x:v>
      </x:c>
      <x:c r="F36" s="12" t="str">
        <x:v>context_required</x:v>
      </x:c>
      <x:c r="G36" s="12" t="str"/>
      <x:c r="H36" s="12" t="str">
        <x:v>generic_or_section_local_placeholder</x:v>
      </x:c>
      <x:c r="I36" s="12" t="str">
        <x:v>79. Le 19 août 2011, le demandeur, Mme Ayoub et Alexia ont participé ensemble à une sortie au Zoo de Granby, comme l’établit la pièce P-[●];</x:v>
      </x:c>
    </x:row>
    <x:row r="37">
      <x:c r="A37" s="12" t="n">
        <x:v>199</x:v>
      </x:c>
      <x:c r="B37" s="12" t="str">
        <x:v>80</x:v>
      </x:c>
      <x:c r="C37" s="12" t="str">
        <x:v>La durée de la résidence distincte</x:v>
      </x:c>
      <x:c r="D37" s="12" t="str">
        <x:v>P-[●]</x:v>
      </x:c>
      <x:c r="E37" s="12" t="n">
        <x:v>1</x:v>
      </x:c>
      <x:c r="F37" s="12" t="str">
        <x:v>context_required</x:v>
      </x:c>
      <x:c r="G37" s="12" t="str"/>
      <x:c r="H37" s="12" t="str">
        <x:v>generic_or_section_local_placeholder</x:v>
      </x:c>
      <x:c r="I37" s="12" t="str">
        <x:v>80. Le 12 septembre 2011, une amie du demandeur lui demandait par écrit : « Le retour avec Élise va bien? », comme l’établit le courriel produit comme pièce P-[●];</x:v>
      </x:c>
    </x:row>
    <x:row r="38">
      <x:c r="A38" s="12" t="n">
        <x:v>201</x:v>
      </x:c>
      <x:c r="B38" s="12" t="str">
        <x:v>81</x:v>
      </x:c>
      <x:c r="C38" s="12" t="str">
        <x:v>La durée de la résidence distincte</x:v>
      </x:c>
      <x:c r="D38" s="12" t="str">
        <x:v>P-[●]</x:v>
      </x:c>
      <x:c r="E38" s="12" t="n">
        <x:v>1</x:v>
      </x:c>
      <x:c r="F38" s="12" t="str">
        <x:v>context_required</x:v>
      </x:c>
      <x:c r="G38" s="12" t="str"/>
      <x:c r="H38" s="12" t="str">
        <x:v>generic_or_section_local_placeholder</x:v>
      </x:c>
      <x:c r="I38" s="12" t="str">
        <x:v>81. Du 27 septembre au 3 octobre 2011, le demandeur, Mme Ayoub, Alexia et les parents de Mme Ayoub ont effectué ensemble un voyage familial à Cuba, comme l’établissent les documents produits en liasse comme pièce P-[●];</x:v>
      </x:c>
    </x:row>
    <x:row r="39">
      <x:c r="A39" s="12" t="n">
        <x:v>211</x:v>
      </x:c>
      <x:c r="B39" s="12" t="str">
        <x:v>85</x:v>
      </x:c>
      <x:c r="C39" s="12" t="str">
        <x:v>Les soins donnés à Alexia pendant la période visée</x:v>
      </x:c>
      <x:c r="D39" s="12" t="str">
        <x:v>P-[●]</x:v>
      </x:c>
      <x:c r="E39" s="12" t="n">
        <x:v>1</x:v>
      </x:c>
      <x:c r="F39" s="12" t="str">
        <x:v>context_required</x:v>
      </x:c>
      <x:c r="G39" s="12" t="str"/>
      <x:c r="H39" s="12" t="str">
        <x:v>generic_or_section_local_placeholder</x:v>
      </x:c>
      <x:c r="I39" s="12" t="str">
        <x:v>85. Les 9 et 16 février 2011, le demandeur a notamment assuré la routine du soir d’Alexia pendant que Mme Ayoub participait à ses cours de danse, comme l’établissent les pièces P-[●] et P-[●];</x:v>
      </x:c>
    </x:row>
    <x:row r="40">
      <x:c r="A40" s="12" t="n">
        <x:v>211</x:v>
      </x:c>
      <x:c r="B40" s="12" t="str">
        <x:v>85</x:v>
      </x:c>
      <x:c r="C40" s="12" t="str">
        <x:v>Les soins donnés à Alexia pendant la période visée</x:v>
      </x:c>
      <x:c r="D40" s="12" t="str">
        <x:v>P-[●]</x:v>
      </x:c>
      <x:c r="E40" s="12" t="n">
        <x:v>2</x:v>
      </x:c>
      <x:c r="F40" s="12" t="str">
        <x:v>context_required</x:v>
      </x:c>
      <x:c r="G40" s="12" t="str"/>
      <x:c r="H40" s="12" t="str">
        <x:v>generic_or_section_local_placeholder</x:v>
      </x:c>
      <x:c r="I40" s="12" t="str">
        <x:v>85. Les 9 et 16 février 2011, le demandeur a notamment assuré la routine du soir d’Alexia pendant que Mme Ayoub participait à ses cours de danse, comme l’établissent les pièces P-[●] et P-[●];</x:v>
      </x:c>
    </x:row>
    <x:row r="41">
      <x:c r="A41" s="12" t="n">
        <x:v>213</x:v>
      </x:c>
      <x:c r="B41" s="12" t="str">
        <x:v>86</x:v>
      </x:c>
      <x:c r="C41" s="12" t="str">
        <x:v>Les soins donnés à Alexia pendant la période visée</x:v>
      </x:c>
      <x:c r="D41" s="12" t="str">
        <x:v>P-[●]</x:v>
      </x:c>
      <x:c r="E41" s="12" t="n">
        <x:v>1</x:v>
      </x:c>
      <x:c r="F41" s="12" t="str">
        <x:v>context_required</x:v>
      </x:c>
      <x:c r="G41" s="12" t="str"/>
      <x:c r="H41" s="12" t="str">
        <x:v>generic_or_section_local_placeholder</x:v>
      </x:c>
      <x:c r="I41" s="12" t="str">
        <x:v>86. Les 8 et 15 mars 2011, le demandeur était également à la résidence familiale afin de s’occuper d’Alexia pendant les cours de danse de Mme Ayoub, comme l’établissent les courriels produits en liasse comme pièce P-[●];</x:v>
      </x:c>
    </x:row>
    <x:row r="42">
      <x:c r="A42" s="12" t="n">
        <x:v>225</x:v>
      </x:c>
      <x:c r="B42" s="12" t="str">
        <x:v>92</x:v>
      </x:c>
      <x:c r="C42" s="12" t="str">
        <x:v>Les soins donnés à Alexia pendant la période visée</x:v>
      </x:c>
      <x:c r="D42" s="12" t="str">
        <x:v>P-[●]</x:v>
      </x:c>
      <x:c r="E42" s="12" t="n">
        <x:v>1</x:v>
      </x:c>
      <x:c r="F42" s="12" t="str">
        <x:v>context_required</x:v>
      </x:c>
      <x:c r="G42" s="12" t="str"/>
      <x:c r="H42" s="12" t="str">
        <x:v>generic_or_section_local_placeholder</x:v>
      </x:c>
      <x:c r="I42" s="12" t="str">
        <x:v>92. Durant cette période, la présence du demandeur auprès d’Alexia est également documentée dans plusieurs activités et événements familiaux datés, dont le tableau récapitulatif est produit comme pièce P-[●];</x:v>
      </x:c>
    </x:row>
    <x:row r="43">
      <x:c r="A43" s="12" t="n">
        <x:v>229</x:v>
      </x:c>
      <x:c r="B43" s="12" t="str">
        <x:v>94</x:v>
      </x:c>
      <x:c r="C43" s="12" t="str">
        <x:v>Les soins donnés à Alexia pendant la période visée</x:v>
      </x:c>
      <x:c r="D43" s="12" t="str">
        <x:v>P-[●]</x:v>
      </x:c>
      <x:c r="E43" s="12" t="n">
        <x:v>1</x:v>
      </x:c>
      <x:c r="F43" s="12" t="str">
        <x:v>context_required</x:v>
      </x:c>
      <x:c r="G43" s="12" t="str"/>
      <x:c r="H43" s="12" t="str">
        <x:v>generic_or_section_local_placeholder</x:v>
      </x:c>
      <x:c r="I43" s="12" t="str">
        <x:v>94. Cette amie lui répondait alors : « C’est bien que tu passes beaucoup de temps avec ta fille, bon papa », le tout tel qu’il appert de l’échange produit comme pièce P-[●];</x:v>
      </x:c>
    </x:row>
    <x:row r="44">
      <x:c r="A44" s="12" t="n">
        <x:v>239</x:v>
      </x:c>
      <x:c r="B44" s="12" t="str">
        <x:v>98</x:v>
      </x:c>
      <x:c r="C44" s="12" t="str">
        <x:v>L’absence de corroboration du constat attribué au contexte thérapeutique</x:v>
      </x:c>
      <x:c r="D44" s="12" t="str">
        <x:v>P-[●]</x:v>
      </x:c>
      <x:c r="E44" s="12" t="n">
        <x:v>1</x:v>
      </x:c>
      <x:c r="F44" s="12" t="str">
        <x:v>context_required</x:v>
      </x:c>
      <x:c r="G44" s="12" t="str"/>
      <x:c r="H44" s="12" t="str">
        <x:v>generic_or_section_local_placeholder</x:v>
      </x:c>
      <x:c r="I44" s="12" t="str">
        <x:v>98. Le courriel rédigé le 11 juin 2013 par Me Marie-Josée Ayoub, dans lequel celle-ci exposait une stratégie relative à la garde des enfants et aux droits d’accès du demandeur, ne faisait état d’aucun constat du psychologue selon lequel le demandeur aurait eu de la difficulté à assumer son rôle de père, comme l’établit la pièce P-[●];</x:v>
      </x:c>
    </x:row>
    <x:row r="45">
      <x:c r="A45" s="12" t="n">
        <x:v>243</x:v>
      </x:c>
      <x:c r="B45" s="12" t="str">
        <x:v>100</x:v>
      </x:c>
      <x:c r="C45" s="12" t="str">
        <x:v>L’absence de corroboration du constat attribué au contexte thérapeutique</x:v>
      </x:c>
      <x:c r="D45" s="12" t="str">
        <x:v>P-[●]</x:v>
      </x:c>
      <x:c r="E45" s="12" t="n">
        <x:v>1</x:v>
      </x:c>
      <x:c r="F45" s="12" t="str">
        <x:v>context_required</x:v>
      </x:c>
      <x:c r="G45" s="12" t="str"/>
      <x:c r="H45" s="12" t="str">
        <x:v>generic_or_section_local_placeholder</x:v>
      </x:c>
      <x:c r="I45" s="12" t="str">
        <x:v>100. Dans ce même échange, Mme Ayoub distinguait l’implication du demandeur auprès des enfants d’une implication correspondant à « 50 % du temps », le tout tel qu’il appert de la pièce P-[●];</x:v>
      </x:c>
    </x:row>
    <x:row r="46">
      <x:c r="A46" s="12" t="n">
        <x:v>258</x:v>
      </x:c>
      <x:c r="B46" s="12" t="str">
        <x:v>106</x:v>
      </x:c>
      <x:c r="C46" s="12" t="str">
        <x:v>L’allégation relative à l’absence du demandeur pendant l’été 2013</x:v>
      </x:c>
      <x:c r="D46" s="12" t="str">
        <x:v>P-[1]</x:v>
      </x:c>
      <x:c r="E46" s="12" t="n">
        <x:v>1</x:v>
      </x:c>
      <x:c r="F46" s="12" t="str">
        <x:v>context_required</x:v>
      </x:c>
      <x:c r="G46" s="12" t="str"/>
      <x:c r="H46" s="12" t="str">
        <x:v>generic_or_section_local_placeholder</x:v>
      </x:c>
      <x:c r="I46" s="12" t="str">
        <x:v>106. Le 19 novembre 2015, dans le dossier de la Cour supérieure portant le numéro 505-04-024603-151, la défenderesse, alors demanderesse, a produit une requête appuyée de son serment, laquelle est produite au soutien des présentes comme pièce P-[1].</x:v>
      </x:c>
    </x:row>
    <x:row r="47">
      <x:c r="A47" s="12" t="n">
        <x:v>268</x:v>
      </x:c>
      <x:c r="B47" s="12" t="str">
        <x:v>110</x:v>
      </x:c>
      <x:c r="C47" s="12" t="str">
        <x:v>L’allégation relative à l’absence du demandeur pendant l’été 2013</x:v>
      </x:c>
      <x:c r="D47" s="12" t="str">
        <x:v>P-[2]</x:v>
      </x:c>
      <x:c r="E47" s="12" t="n">
        <x:v>1</x:v>
      </x:c>
      <x:c r="F47" s="12" t="str">
        <x:v>context_required</x:v>
      </x:c>
      <x:c r="G47" s="12" t="str"/>
      <x:c r="H47" s="12" t="str">
        <x:v>generic_or_section_local_placeholder</x:v>
      </x:c>
      <x:c r="I47" s="12" t="str">
        <x:v>110. Plus précisément, les 16 et 17 juin 2013, le demandeur était à Cape Cod avec ses parents et les membres de sa fratrie, sans les enfants, tel qu’il appert des documents produits en liasse comme pièce P-[2].</x:v>
      </x:c>
    </x:row>
    <x:row r="48">
      <x:c r="A48" s="12" t="n">
        <x:v>270</x:v>
      </x:c>
      <x:c r="B48" s="12" t="str">
        <x:v>111</x:v>
      </x:c>
      <x:c r="C48" s="12" t="str">
        <x:v>L’allégation relative à l’absence du demandeur pendant l’été 2013</x:v>
      </x:c>
      <x:c r="D48" s="12" t="str">
        <x:v>P-[3]</x:v>
      </x:c>
      <x:c r="E48" s="12" t="n">
        <x:v>1</x:v>
      </x:c>
      <x:c r="F48" s="12" t="str">
        <x:v>context_required</x:v>
      </x:c>
      <x:c r="G48" s="12" t="str"/>
      <x:c r="H48" s="12" t="str">
        <x:v>generic_or_section_local_placeholder</x:v>
      </x:c>
      <x:c r="I48" s="12" t="str">
        <x:v>111. Le 27 juin 2013, le demandeur écrivait également à son supérieur qu’il n’avait pas vu les enfants depuis environ deux semaines, tel qu’il appert du courriel produit comme pièce P-[3].</x:v>
      </x:c>
    </x:row>
    <x:row r="49">
      <x:c r="A49" s="12" t="n">
        <x:v>274</x:v>
      </x:c>
      <x:c r="B49" s="12" t="str">
        <x:v>113</x:v>
      </x:c>
      <x:c r="C49" s="12" t="str">
        <x:v>L’allégation relative à l’absence du demandeur pendant l’été 2013</x:v>
      </x:c>
      <x:c r="D49" s="12" t="str">
        <x:v>P-[4]</x:v>
      </x:c>
      <x:c r="E49" s="12" t="n">
        <x:v>1</x:v>
      </x:c>
      <x:c r="F49" s="12" t="str">
        <x:v>context_required</x:v>
      </x:c>
      <x:c r="G49" s="12" t="str"/>
      <x:c r="H49" s="12" t="str">
        <x:v>generic_or_section_local_placeholder</x:v>
      </x:c>
      <x:c r="I49" s="12" t="str">
        <x:v>113. Entre la fin du mois de juin et la fin du mois d’août 2013, le demandeur est documenté à de nombreuses reprises en compagnie de l’un ou l’autre des enfants, tel qu’il appert du tableau chronologique et des documents contemporains produits en liasse comme pièce P-[4].</x:v>
      </x:c>
    </x:row>
    <x:row r="50">
      <x:c r="A50" s="12" t="n">
        <x:v>278</x:v>
      </x:c>
      <x:c r="B50" s="12" t="str">
        <x:v>115</x:v>
      </x:c>
      <x:c r="C50" s="12" t="str">
        <x:v>L’allégation relative à l’absence du demandeur pendant l’été 2013</x:v>
      </x:c>
      <x:c r="D50" s="12" t="str">
        <x:v>P-[5]</x:v>
      </x:c>
      <x:c r="E50" s="12" t="n">
        <x:v>1</x:v>
      </x:c>
      <x:c r="F50" s="12" t="str">
        <x:v>context_required</x:v>
      </x:c>
      <x:c r="G50" s="12" t="str"/>
      <x:c r="H50" s="12" t="str">
        <x:v>generic_or_section_local_placeholder</x:v>
      </x:c>
      <x:c r="I50" s="12" t="str">
        <x:v>115. Ces dates ont été corroborées par un représentant du centre d’escalade Allez Up à partir des transactions par lesquelles le demandeur avait acquitté des droits d’entrée pour enfant, tel qu’il appert de l’échange produit comme pièce P-[5].</x:v>
      </x:c>
    </x:row>
    <x:row r="51">
      <x:c r="A51" s="12" t="n">
        <x:v>290</x:v>
      </x:c>
      <x:c r="B51" s="12" t="str">
        <x:v>116</x:v>
      </x:c>
      <x:c r="C51" s="12" t="str">
        <x:v>L’allégation relative à l’absence du demandeur pendant l’été 2013</x:v>
      </x:c>
      <x:c r="D51" s="12" t="str">
        <x:v>P-[6]</x:v>
      </x:c>
      <x:c r="E51" s="12" t="n">
        <x:v>1</x:v>
      </x:c>
      <x:c r="F51" s="12" t="str">
        <x:v>context_required</x:v>
      </x:c>
      <x:c r="G51" s="12" t="str"/>
      <x:c r="H51" s="12" t="str">
        <x:v>generic_or_section_local_placeholder</x:v>
      </x:c>
      <x:c r="I51" s="12" t="str">
        <x:v>le tout tel qu’il appert des documents produits en liasse comme pièce P-[6].</x:v>
      </x:c>
    </x:row>
    <x:row r="52">
      <x:c r="A52" s="12" t="n">
        <x:v>292</x:v>
      </x:c>
      <x:c r="B52" s="12" t="str">
        <x:v>117</x:v>
      </x:c>
      <x:c r="C52" s="12" t="str">
        <x:v>L’allégation relative à l’absence du demandeur pendant l’été 2013</x:v>
      </x:c>
      <x:c r="D52" s="12" t="str">
        <x:v>P-[7]</x:v>
      </x:c>
      <x:c r="E52" s="12" t="n">
        <x:v>1</x:v>
      </x:c>
      <x:c r="F52" s="12" t="str">
        <x:v>context_required</x:v>
      </x:c>
      <x:c r="G52" s="12" t="str"/>
      <x:c r="H52" s="12" t="str">
        <x:v>generic_or_section_local_placeholder</x:v>
      </x:c>
      <x:c r="I52" s="12" t="str">
        <x:v>117. Le 13 juillet 2013, le demandeur était avec Alexia sur le voilier de ses parents, tel qu’il appert de la pièce P-[7].</x:v>
      </x:c>
    </x:row>
    <x:row r="53">
      <x:c r="A53" s="12" t="n">
        <x:v>294</x:v>
      </x:c>
      <x:c r="B53" s="12" t="str">
        <x:v>118</x:v>
      </x:c>
      <x:c r="C53" s="12" t="str">
        <x:v>L’allégation relative à l’absence du demandeur pendant l’été 2013</x:v>
      </x:c>
      <x:c r="D53" s="12" t="str">
        <x:v>P-[8]</x:v>
      </x:c>
      <x:c r="E53" s="12" t="n">
        <x:v>1</x:v>
      </x:c>
      <x:c r="F53" s="12" t="str">
        <x:v>context_required</x:v>
      </x:c>
      <x:c r="G53" s="12" t="str"/>
      <x:c r="H53" s="12" t="str">
        <x:v>generic_or_section_local_placeholder</x:v>
      </x:c>
      <x:c r="I53" s="12" t="str">
        <x:v>118. Du 11 au 16 août 2013, le demandeur a séjourné à Cape Cod avec Alexia et Nicolas, tel qu’il appert des documents produits en liasse comme pièce P-[8].</x:v>
      </x:c>
    </x:row>
    <x:row r="54">
      <x:c r="A54" s="12" t="n">
        <x:v>296</x:v>
      </x:c>
      <x:c r="B54" s="12" t="str">
        <x:v>119</x:v>
      </x:c>
      <x:c r="C54" s="12" t="str">
        <x:v>L’allégation relative à l’absence du demandeur pendant l’été 2013</x:v>
      </x:c>
      <x:c r="D54" s="12" t="str">
        <x:v>P-[9]</x:v>
      </x:c>
      <x:c r="E54" s="12" t="n">
        <x:v>1</x:v>
      </x:c>
      <x:c r="F54" s="12" t="str">
        <x:v>context_required</x:v>
      </x:c>
      <x:c r="G54" s="12" t="str"/>
      <x:c r="H54" s="12" t="str">
        <x:v>generic_or_section_local_placeholder</x:v>
      </x:c>
      <x:c r="I54" s="12" t="str">
        <x:v>119. Le 21 août 2013, le demandeur a accompagné Alexia au Village du Père Noël et, le 24 août suivant, il a assisté à la remise des médailles de sa saison de soccer, tel qu’il appert des pièces P-[9] et P-[10].</x:v>
      </x:c>
    </x:row>
    <x:row r="55">
      <x:c r="A55" s="12" t="n">
        <x:v>296</x:v>
      </x:c>
      <x:c r="B55" s="12" t="str">
        <x:v>119</x:v>
      </x:c>
      <x:c r="C55" s="12" t="str">
        <x:v>L’allégation relative à l’absence du demandeur pendant l’été 2013</x:v>
      </x:c>
      <x:c r="D55" s="12" t="str">
        <x:v>P-[10]</x:v>
      </x:c>
      <x:c r="E55" s="12" t="n">
        <x:v>2</x:v>
      </x:c>
      <x:c r="F55" s="12" t="str">
        <x:v>context_required</x:v>
      </x:c>
      <x:c r="G55" s="12" t="str"/>
      <x:c r="H55" s="12" t="str">
        <x:v>generic_or_section_local_placeholder</x:v>
      </x:c>
      <x:c r="I55" s="12" t="str">
        <x:v>119. Le 21 août 2013, le demandeur a accompagné Alexia au Village du Père Noël et, le 24 août suivant, il a assisté à la remise des médailles de sa saison de soccer, tel qu’il appert des pièces P-[9] et P-[10].</x:v>
      </x:c>
    </x:row>
    <x:row r="56">
      <x:c r="A56" s="12" t="n">
        <x:v>302</x:v>
      </x:c>
      <x:c r="B56" s="12" t="str">
        <x:v>122</x:v>
      </x:c>
      <x:c r="C56" s="12" t="str">
        <x:v>L’allégation relative à l’absence du demandeur pendant l’été 2013</x:v>
      </x:c>
      <x:c r="D56" s="12" t="str">
        <x:v>P-[11]</x:v>
      </x:c>
      <x:c r="E56" s="12" t="n">
        <x:v>1</x:v>
      </x:c>
      <x:c r="F56" s="12" t="str">
        <x:v>context_required</x:v>
      </x:c>
      <x:c r="G56" s="12" t="str"/>
      <x:c r="H56" s="12" t="str">
        <x:v>generic_or_section_local_placeholder</x:v>
      </x:c>
      <x:c r="I56" s="12" t="str">
        <x:v>122. Ainsi, dans un échange des 29 et 30 juillet 2013, la mère du demandeur s’attendait à ce qu’il se présente avec Nicolas, auquel le demandeur répondait qu’il n’y avait pas de soccer le lendemain, tel qu’il appert de l’échange produit comme pièce P-[11].</x:v>
      </x:c>
    </x:row>
    <x:row r="57">
      <x:c r="A57" s="12" t="n">
        <x:v>304</x:v>
      </x:c>
      <x:c r="B57" s="12" t="str">
        <x:v>123</x:v>
      </x:c>
      <x:c r="C57" s="12" t="str">
        <x:v>L’allégation relative à l’absence du demandeur pendant l’été 2013</x:v>
      </x:c>
      <x:c r="D57" s="12" t="str">
        <x:v>P-[12]</x:v>
      </x:c>
      <x:c r="E57" s="12" t="n">
        <x:v>1</x:v>
      </x:c>
      <x:c r="F57" s="12" t="str">
        <x:v>context_required</x:v>
      </x:c>
      <x:c r="G57" s="12" t="str"/>
      <x:c r="H57" s="12" t="str">
        <x:v>generic_or_section_local_placeholder</x:v>
      </x:c>
      <x:c r="I57" s="12" t="str">
        <x:v>123. Le 19 juillet 2013, le demandeur écrivait dans une communication privée contemporaine qu’il voyait les enfants tous les jours, qu’il soupait à la résidence familiale avec la défenderesse et qu’il couchait chez ses parents depuis environ un mois, tel qu’il appert du courriel produit comme pièce P-[12].</x:v>
      </x:c>
    </x:row>
    <x:row r="58">
      <x:c r="A58" s="12" t="n">
        <x:v>308</x:v>
      </x:c>
      <x:c r="B58" s="12" t="str">
        <x:v>125</x:v>
      </x:c>
      <x:c r="C58" s="12" t="str">
        <x:v>L’allégation relative à l’absence du demandeur pendant l’été 2013</x:v>
      </x:c>
      <x:c r="D58" s="12" t="str">
        <x:v>P-[13]</x:v>
      </x:c>
      <x:c r="E58" s="12" t="n">
        <x:v>1</x:v>
      </x:c>
      <x:c r="F58" s="12" t="str">
        <x:v>context_required</x:v>
      </x:c>
      <x:c r="G58" s="12" t="str"/>
      <x:c r="H58" s="12" t="str">
        <x:v>generic_or_section_local_placeholder</x:v>
      </x:c>
      <x:c r="I58" s="12" t="str">
        <x:v>125. Le demandeur expliquait également qu’il ne pouvait dormir dans le sous-sol de la résidence familiale puisque celui-ci avait été démoli à la suite d’une inondation survenue en 2012 et n’avait pas été reconstruit, tel qu’il appert des pièces P-[13] et P-[14].</x:v>
      </x:c>
    </x:row>
    <x:row r="59">
      <x:c r="A59" s="12" t="n">
        <x:v>308</x:v>
      </x:c>
      <x:c r="B59" s="12" t="str">
        <x:v>125</x:v>
      </x:c>
      <x:c r="C59" s="12" t="str">
        <x:v>L’allégation relative à l’absence du demandeur pendant l’été 2013</x:v>
      </x:c>
      <x:c r="D59" s="12" t="str">
        <x:v>P-[14]</x:v>
      </x:c>
      <x:c r="E59" s="12" t="n">
        <x:v>2</x:v>
      </x:c>
      <x:c r="F59" s="12" t="str">
        <x:v>context_required</x:v>
      </x:c>
      <x:c r="G59" s="12" t="str"/>
      <x:c r="H59" s="12" t="str">
        <x:v>generic_or_section_local_placeholder</x:v>
      </x:c>
      <x:c r="I59" s="12" t="str">
        <x:v>125. Le demandeur expliquait également qu’il ne pouvait dormir dans le sous-sol de la résidence familiale puisque celui-ci avait été démoli à la suite d’une inondation survenue en 2012 et n’avait pas été reconstruit, tel qu’il appert des pièces P-[13] et P-[14].</x:v>
      </x:c>
    </x:row>
    <x:row r="60">
      <x:c r="A60" s="12" t="n">
        <x:v>312</x:v>
      </x:c>
      <x:c r="B60" s="12" t="str">
        <x:v>127</x:v>
      </x:c>
      <x:c r="C60" s="12" t="str">
        <x:v>L’allégation relative à l’absence du demandeur pendant l’été 2013</x:v>
      </x:c>
      <x:c r="D60" s="12" t="str">
        <x:v>P-[15]</x:v>
      </x:c>
      <x:c r="E60" s="12" t="n">
        <x:v>1</x:v>
      </x:c>
      <x:c r="F60" s="12" t="str">
        <x:v>context_required</x:v>
      </x:c>
      <x:c r="G60" s="12" t="str"/>
      <x:c r="H60" s="12" t="str">
        <x:v>generic_or_section_local_placeholder</x:v>
      </x:c>
      <x:c r="I60" s="12" t="str">
        <x:v>127. Pendant la même période, soit entre les 14 et 19 juillet 2013, la défenderesse a organisé une fête d’anniversaire-surprise pour le demandeur, en invitant leurs proches et leurs enfants et en coordonnant la présence du demandeur à la résidence, tel qu’il appert des communications et photographies produites en liasse comme pièce P-[15].</x:v>
      </x:c>
    </x:row>
    <x:row r="61">
      <x:c r="A61" s="12" t="n">
        <x:v>314</x:v>
      </x:c>
      <x:c r="B61" s="12" t="str">
        <x:v>128</x:v>
      </x:c>
      <x:c r="C61" s="12" t="str">
        <x:v>L’allégation relative à l’absence du demandeur pendant l’été 2013</x:v>
      </x:c>
      <x:c r="D61" s="12" t="str">
        <x:v>P-[16]</x:v>
      </x:c>
      <x:c r="E61" s="12" t="n">
        <x:v>1</x:v>
      </x:c>
      <x:c r="F61" s="12" t="str">
        <x:v>context_required</x:v>
      </x:c>
      <x:c r="G61" s="12" t="str"/>
      <x:c r="H61" s="12" t="str">
        <x:v>generic_or_section_local_placeholder</x:v>
      </x:c>
      <x:c r="I61" s="12" t="str">
        <x:v>128. Dans les semaines suivant la période visée, soit le 10 septembre 2013, la défenderesse a également proposé au demandeur un voyage familial pour les deux parties et les deux enfants, tel qu’il appert de l’échange produit comme pièce P-[16].</x:v>
      </x:c>
    </x:row>
    <x:row r="62">
      <x:c r="A62" s="12" t="n">
        <x:v>375</x:v>
      </x:c>
      <x:c r="B62" s="12" t="str">
        <x:v>152</x:v>
      </x:c>
      <x:c r="C62" s="12" t="str">
        <x:v>La prise en charge des enfants pendant la vie commune</x:v>
      </x:c>
      <x:c r="D62" s="12" t="str">
        <x:v>P-[7]</x:v>
      </x:c>
      <x:c r="E62" s="12" t="n">
        <x:v>1</x:v>
      </x:c>
      <x:c r="F62" s="12" t="str">
        <x:v>context_required</x:v>
      </x:c>
      <x:c r="G62" s="12" t="str"/>
      <x:c r="H62" s="12" t="str">
        <x:v>generic_or_section_local_placeholder</x:v>
      </x:c>
      <x:c r="I62" s="12" t="str">
        <x:v>152. Au cours de la vie commune, la défenderesse participait régulièrement à des activités de danse en soirée, notamment à des cours et à des activités d’enseignement, comme il appert de sa biographie, des calendriers et des communications contemporaines produits en liasse comme pièce P-[7].</x:v>
      </x:c>
    </x:row>
    <x:row r="63">
      <x:c r="A63" s="12" t="n">
        <x:v>379</x:v>
      </x:c>
      <x:c r="B63" s="12" t="str">
        <x:v>154</x:v>
      </x:c>
      <x:c r="C63" s="12" t="str">
        <x:v>La prise en charge des enfants pendant la vie commune</x:v>
      </x:c>
      <x:c r="D63" s="12" t="str">
        <x:v>P-[7]</x:v>
      </x:c>
      <x:c r="E63" s="12" t="n">
        <x:v>1</x:v>
      </x:c>
      <x:c r="F63" s="12" t="str">
        <x:v>context_required</x:v>
      </x:c>
      <x:c r="G63" s="12" t="str"/>
      <x:c r="H63" s="12" t="str">
        <x:v>generic_or_section_local_placeholder</x:v>
      </x:c>
      <x:c r="I63" s="12" t="str">
        <x:v>154. À titre d’exemple, les 9 et 16 février 2011, le demandeur a assumé la routine du soir d’Alexia pendant que la défenderesse assistait à ses activités de danse, comme il appert des inscriptions contemporaines produites sous la pièce P-[7].</x:v>
      </x:c>
    </x:row>
    <x:row r="64">
      <x:c r="A64" s="12" t="n">
        <x:v>381</x:v>
      </x:c>
      <x:c r="B64" s="12" t="str">
        <x:v>155</x:v>
      </x:c>
      <x:c r="C64" s="12" t="str">
        <x:v>La prise en charge des enfants pendant la vie commune</x:v>
      </x:c>
      <x:c r="D64" s="12" t="str">
        <x:v>P-[7]</x:v>
      </x:c>
      <x:c r="E64" s="12" t="n">
        <x:v>1</x:v>
      </x:c>
      <x:c r="F64" s="12" t="str">
        <x:v>context_required</x:v>
      </x:c>
      <x:c r="G64" s="12" t="str"/>
      <x:c r="H64" s="12" t="str">
        <x:v>generic_or_section_local_placeholder</x:v>
      </x:c>
      <x:c r="I64" s="12" t="str">
        <x:v>155. Le 6 mars 2012, le demandeur a informé la défenderesse qu’il aménageait son horaire de travail afin de rentrer plus tôt et de prendre le relais auprès d’Alexia parce que la défenderesse dansait ce soir-là, comme il appert de la communication également produite sous la pièce P-[7].</x:v>
      </x:c>
    </x:row>
    <x:row r="65">
      <x:c r="A65" s="12" t="n">
        <x:v>391</x:v>
      </x:c>
      <x:c r="B65" s="12" t="str">
        <x:v>160</x:v>
      </x:c>
      <x:c r="C65" s="12" t="str">
        <x:v>La prise en charge des enfants pendant la vie commune</x:v>
      </x:c>
      <x:c r="D65" s="12" t="str">
        <x:v>P-[9]</x:v>
      </x:c>
      <x:c r="E65" s="12" t="n">
        <x:v>1</x:v>
      </x:c>
      <x:c r="F65" s="12" t="str">
        <x:v>context_required</x:v>
      </x:c>
      <x:c r="G65" s="12" t="str"/>
      <x:c r="H65" s="12" t="str">
        <x:v>generic_or_section_local_placeholder</x:v>
      </x:c>
      <x:c r="I65" s="12" t="str">
        <x:v>160. Le demandeur participait également à la logistique quotidienne de la garderie et de l’école, notamment aux routines du matin, aux déplacements et à la récupération des enfants, comme il appert des communications et inscriptions produites en liasse comme pièce P-[9].</x:v>
      </x:c>
    </x:row>
    <x:row r="66">
      <x:c r="A66" s="12" t="n">
        <x:v>399</x:v>
      </x:c>
      <x:c r="B66" s="12" t="str">
        <x:v>164</x:v>
      </x:c>
      <x:c r="C66" s="12" t="str">
        <x:v>La prise en charge des enfants pendant la vie commune</x:v>
      </x:c>
      <x:c r="D66" s="12" t="str">
        <x:v>P-[10]</x:v>
      </x:c>
      <x:c r="E66" s="12" t="n">
        <x:v>1</x:v>
      </x:c>
      <x:c r="F66" s="12" t="str">
        <x:v>context_required</x:v>
      </x:c>
      <x:c r="G66" s="12" t="str"/>
      <x:c r="H66" s="12" t="str">
        <x:v>generic_or_section_local_placeholder</x:v>
      </x:c>
      <x:c r="I66" s="12" t="str">
        <x:v>164. Sa présence est notamment documentée lors de cours de natation, d’activités de gymnastique, de récitals, de parties de soccer, de sorties au parc et d’autres activités familiales, comme il appert des documents et photographies produits en liasse comme pièce P-[10].</x:v>
      </x:c>
    </x:row>
    <x:row r="67">
      <x:c r="A67" s="12" t="n">
        <x:v>541</x:v>
      </x:c>
      <x:c r="B67" s="12" t="str">
        <x:v>214</x:v>
      </x:c>
      <x:c r="C67" s="12" t="str">
        <x:v>Les allégations relatives au cadre initial d’exercice des accès</x:v>
      </x:c>
      <x:c r="D67" s="12" t="str">
        <x:v>P-[●]</x:v>
      </x:c>
      <x:c r="E67" s="12" t="n">
        <x:v>1</x:v>
      </x:c>
      <x:c r="F67" s="12" t="str">
        <x:v>context_required</x:v>
      </x:c>
      <x:c r="G67" s="12" t="str"/>
      <x:c r="H67" s="12" t="str">
        <x:v>generic_or_section_local_placeholder</x:v>
      </x:c>
      <x:c r="I67" s="12" t="str">
        <x:v>214. Le 19 novembre 2015, dans le dossier de la Cour supérieure portant le numéro 505-04-024603-151, la défenderesse, alors demanderesse, a produit une requête appuyée de son serment, laquelle est produite au soutien des présentes comme pièce P-[●].</x:v>
      </x:c>
    </x:row>
    <x:row r="68">
      <x:c r="A68" s="12" t="n">
        <x:v>555</x:v>
      </x:c>
      <x:c r="B68" s="12" t="str">
        <x:v>219</x:v>
      </x:c>
      <x:c r="C68" s="12" t="str">
        <x:v>Les allégations relatives au cadre initial d’exercice des accès</x:v>
      </x:c>
      <x:c r="D68" s="12" t="str">
        <x:v>P-[●]</x:v>
      </x:c>
      <x:c r="E68" s="12" t="n">
        <x:v>1</x:v>
      </x:c>
      <x:c r="F68" s="12" t="str">
        <x:v>context_required</x:v>
      </x:c>
      <x:c r="G68" s="12" t="str"/>
      <x:c r="H68" s="12" t="str">
        <x:v>generic_or_section_local_placeholder</x:v>
      </x:c>
      <x:c r="I68" s="12" t="str">
        <x:v>219. En effet, tel qu’il appert des faits et des pièces déjà exposés aux paragraphes 138 à 148 des présentes, le demandeur avait transmis, le 20 avril 2015, une proposition formelle de garde partagée suivant un horaire de type 2-2-3, pièce P-[●].</x:v>
      </x:c>
    </x:row>
    <x:row r="69">
      <x:c r="A69" s="12" t="n">
        <x:v>557</x:v>
      </x:c>
      <x:c r="B69" s="12" t="str">
        <x:v>220</x:v>
      </x:c>
      <x:c r="C69" s="12" t="str">
        <x:v>Les allégations relatives au cadre initial d’exercice des accès</x:v>
      </x:c>
      <x:c r="D69" s="12" t="str">
        <x:v>P-[●]</x:v>
      </x:c>
      <x:c r="E69" s="12" t="n">
        <x:v>1</x:v>
      </x:c>
      <x:c r="F69" s="12" t="str">
        <x:v>context_required</x:v>
      </x:c>
      <x:c r="G69" s="12" t="str"/>
      <x:c r="H69" s="12" t="str">
        <x:v>generic_or_section_local_placeholder</x:v>
      </x:c>
      <x:c r="I69" s="12" t="str">
        <x:v>220. Le 27 avril 2015, cette proposition avait été refusée au nom de la défenderesse, notamment au motif qu’il n’était pas dans l’intérêt des enfants de modifier une routine qui aurait été établie depuis un peu plus de deux mois, pièce P-[●].</x:v>
      </x:c>
    </x:row>
    <x:row r="70">
      <x:c r="A70" s="12" t="n">
        <x:v>561</x:v>
      </x:c>
      <x:c r="B70" s="12" t="str">
        <x:v>222</x:v>
      </x:c>
      <x:c r="C70" s="12" t="str">
        <x:v>Les allégations relatives au cadre initial d’exercice des accès</x:v>
      </x:c>
      <x:c r="D70" s="12" t="str">
        <x:v>P-[●]</x:v>
      </x:c>
      <x:c r="E70" s="12" t="n">
        <x:v>1</x:v>
      </x:c>
      <x:c r="F70" s="12" t="str">
        <x:v>context_required</x:v>
      </x:c>
      <x:c r="G70" s="12" t="str"/>
      <x:c r="H70" s="12" t="str">
        <x:v>generic_or_section_local_placeholder</x:v>
      </x:c>
      <x:c r="I70" s="12" t="str">
        <x:v>222. Le 13 août 2015, la procureure de la défenderesse avait également transmis un projet de consentement prévoyant un élargissement progressif des accès du demandeur et, dès la première phase, deux nuitées consécutives du dimanche à 16 h jusqu’au mardi matin, pièce P-[●].</x:v>
      </x:c>
    </x:row>
    <x:row r="71">
      <x:c r="A71" s="12" t="n">
        <x:v>563</x:v>
      </x:c>
      <x:c r="B71" s="12" t="str">
        <x:v>223</x:v>
      </x:c>
      <x:c r="C71" s="12" t="str">
        <x:v>Les allégations relatives au cadre initial d’exercice des accès</x:v>
      </x:c>
      <x:c r="D71" s="12" t="str">
        <x:v>P-[●]</x:v>
      </x:c>
      <x:c r="E71" s="12" t="n">
        <x:v>1</x:v>
      </x:c>
      <x:c r="F71" s="12" t="str">
        <x:v>context_required</x:v>
      </x:c>
      <x:c r="G71" s="12" t="str"/>
      <x:c r="H71" s="12" t="str">
        <x:v>generic_or_section_local_placeholder</x:v>
      </x:c>
      <x:c r="I71" s="12" t="str">
        <x:v>223. Le 2 septembre 2015, le demandeur avait répondu qu’il était disposé à établir cette progression et avait proposé qu’elle conduise à un horaire de garde de type 2-2-3 à compter du 7 février 2016, pièce P-[●].</x:v>
      </x:c>
    </x:row>
    <x:row r="72">
      <x:c r="A72" s="12" t="n">
        <x:v>578</x:v>
      </x:c>
      <x:c r="B72" s="12" t="str">
        <x:v>230</x:v>
      </x:c>
      <x:c r="C72" s="12" t="str">
        <x:v>Les allégations relatives à la médiation et à l’intervention de Claudia Écrement</x:v>
      </x:c>
      <x:c r="D72" s="12" t="str">
        <x:v>P-[●]</x:v>
      </x:c>
      <x:c r="E72" s="12" t="n">
        <x:v>1</x:v>
      </x:c>
      <x:c r="F72" s="12" t="str">
        <x:v>context_required</x:v>
      </x:c>
      <x:c r="G72" s="12" t="str"/>
      <x:c r="H72" s="12" t="str">
        <x:v>generic_or_section_local_placeholder</x:v>
      </x:c>
      <x:c r="I72" s="12" t="str">
        <x:v>230. Le 19 novembre 2015, dans le dossier de la Cour supérieure portant le numéro 505-04-024603-151, la défenderesse, alors demanderesse, a produit une requête appuyée de son serment, laquelle est produite au soutien des présentes comme pièce P-[●].</x:v>
      </x:c>
    </x:row>
    <x:row r="73">
      <x:c r="A73" s="12" t="n">
        <x:v>586</x:v>
      </x:c>
      <x:c r="B73" s="12" t="str">
        <x:v>232</x:v>
      </x:c>
      <x:c r="C73" s="12" t="str">
        <x:v>Les allégations relatives à la médiation et à l’intervention de Claudia Écrement</x:v>
      </x:c>
      <x:c r="D73" s="12" t="str">
        <x:v>P-[●]</x:v>
      </x:c>
      <x:c r="E73" s="12" t="n">
        <x:v>1</x:v>
      </x:c>
      <x:c r="F73" s="12" t="str">
        <x:v>context_required</x:v>
      </x:c>
      <x:c r="G73" s="12" t="str"/>
      <x:c r="H73" s="12" t="str">
        <x:v>generic_or_section_local_placeholder</x:v>
      </x:c>
      <x:c r="I73" s="12" t="str">
        <x:v>232. Le 16 septembre 2015, après avoir rencontré seule la défenderesse, Claudia Écrement a écrit au demandeur pour lui proposer une rencontre individuelle destinée à le guider et à répondre à ses questions concernant la garde des enfants, tel qu’il appert de la chaîne de courriels produite comme pièce P-[●].</x:v>
      </x:c>
    </x:row>
    <x:row r="74">
      <x:c r="A74" s="12" t="n">
        <x:v>592</x:v>
      </x:c>
      <x:c r="B74" s="12" t="str">
        <x:v>234</x:v>
      </x:c>
      <x:c r="C74" s="12" t="str">
        <x:v>Les allégations relatives à la médiation et à l’intervention de Claudia Écrement</x:v>
      </x:c>
      <x:c r="D74" s="12" t="str">
        <x:v>P-[●]</x:v>
      </x:c>
      <x:c r="E74" s="12" t="n">
        <x:v>1</x:v>
      </x:c>
      <x:c r="F74" s="12" t="str">
        <x:v>context_required</x:v>
      </x:c>
      <x:c r="G74" s="12" t="str"/>
      <x:c r="H74" s="12" t="str">
        <x:v>generic_or_section_local_placeholder</x:v>
      </x:c>
      <x:c r="I74" s="12" t="str">
        <x:v>234. Le demandeur a accepté cette proposition le jour même en répondant notamment : « Je veux vous rencontrer », puis s’est informé de son tarif et a convenu d’un rendez-vous devant avoir lieu le 19 octobre 2015, tel qu’il appert de la pièce P-[●].</x:v>
      </x:c>
    </x:row>
    <x:row r="75">
      <x:c r="A75" s="12" t="n">
        <x:v>596</x:v>
      </x:c>
      <x:c r="B75" s="12" t="str">
        <x:v>236</x:v>
      </x:c>
      <x:c r="C75" s="12" t="str">
        <x:v>Les allégations relatives à la médiation et à l’intervention de Claudia Écrement</x:v>
      </x:c>
      <x:c r="D75" s="12" t="str">
        <x:v>P-[●]</x:v>
      </x:c>
      <x:c r="E75" s="12" t="n">
        <x:v>1</x:v>
      </x:c>
      <x:c r="F75" s="12" t="str">
        <x:v>context_required</x:v>
      </x:c>
      <x:c r="G75" s="12" t="str"/>
      <x:c r="H75" s="12" t="str">
        <x:v>generic_or_section_local_placeholder</x:v>
      </x:c>
      <x:c r="I75" s="12" t="str">
        <x:v>236. Dans cette même communication, le demandeur a néanmoins confirmé qu’il demeurait favorable aux services de Claudia Écrement dans la mesure où ceux-ci étaient bénéfiques pour les enfants, tel qu’il appert de la pièce P-[●].</x:v>
      </x:c>
    </x:row>
    <x:row r="76">
      <x:c r="A76" s="12" t="n">
        <x:v>598</x:v>
      </x:c>
      <x:c r="B76" s="12" t="str">
        <x:v>237</x:v>
      </x:c>
      <x:c r="C76" s="12" t="str">
        <x:v>Les allégations relatives à la médiation et à l’intervention de Claudia Écrement</x:v>
      </x:c>
      <x:c r="D76" s="12" t="str">
        <x:v>P-[●]</x:v>
      </x:c>
      <x:c r="E76" s="12" t="n">
        <x:v>1</x:v>
      </x:c>
      <x:c r="F76" s="12" t="str">
        <x:v>context_required</x:v>
      </x:c>
      <x:c r="G76" s="12" t="str"/>
      <x:c r="H76" s="12" t="str">
        <x:v>generic_or_section_local_placeholder</x:v>
      </x:c>
      <x:c r="I76" s="12" t="str">
        <x:v>237. Le même jour, Claudia Écrement a informé la défenderesse qu’elle ne rencontrerait pas le demandeur concernant la garde, à la demande de celui-ci, mais que ce dernier lui permettait de continuer à voir les enfants si cela s’avérait nécessaire, tel qu’il appert de la communication produite comme pièce P-[●].</x:v>
      </x:c>
    </x:row>
    <x:row r="77">
      <x:c r="A77" s="12" t="n">
        <x:v>636</x:v>
      </x:c>
      <x:c r="B77" s="12" t="str">
        <x:v>247</x:v>
      </x:c>
      <x:c r="C77" s="12" t="str">
        <x:v>Les allégations relatives à l’exercice de l’autorité parentale</x:v>
      </x:c>
      <x:c r="D77" s="12" t="str">
        <x:v>P-[●]</x:v>
      </x:c>
      <x:c r="E77" s="12" t="n">
        <x:v>1</x:v>
      </x:c>
      <x:c r="F77" s="12" t="str">
        <x:v>context_required</x:v>
      </x:c>
      <x:c r="G77" s="12" t="str"/>
      <x:c r="H77" s="12" t="str">
        <x:v>generic_or_section_local_placeholder</x:v>
      </x:c>
      <x:c r="I77" s="12" t="str">
        <x:v>247. Le 19 novembre 2015, dans le dossier de la Cour supérieure portant le numéro 505-04-024603-151, la défenderesse, alors demanderesse, a produit une requête appuyée de son serment, laquelle est produite au soutien des présentes comme pièce P-[●].</x:v>
      </x:c>
    </x:row>
    <x:row r="78">
      <x:c r="A78" s="12" t="n">
        <x:v>646</x:v>
      </x:c>
      <x:c r="B78" s="12" t="str">
        <x:v>250</x:v>
      </x:c>
      <x:c r="C78" s="12" t="str">
        <x:v>Les allégations relatives à l’exercice de l’autorité parentale</x:v>
      </x:c>
      <x:c r="D78" s="12" t="str">
        <x:v>P-[●]</x:v>
      </x:c>
      <x:c r="E78" s="12" t="n">
        <x:v>1</x:v>
      </x:c>
      <x:c r="F78" s="12" t="str">
        <x:v>context_required</x:v>
      </x:c>
      <x:c r="G78" s="12" t="str"/>
      <x:c r="H78" s="12" t="str">
        <x:v>generic_or_section_local_placeholder</x:v>
      </x:c>
      <x:c r="I78" s="12" t="str">
        <x:v>250. Le 19 juillet 2015, Nicolas a été baptisé sans que le demandeur ait préalablement été informé de la tenue du baptême ni invité à y assister, tel qu’il appert du courriel contemporain produit comme pièce P-[●].</x:v>
      </x:c>
    </x:row>
    <x:row r="79">
      <x:c r="A79" s="12" t="n">
        <x:v>650</x:v>
      </x:c>
      <x:c r="B79" s="12" t="str">
        <x:v>252</x:v>
      </x:c>
      <x:c r="C79" s="12" t="str">
        <x:v>Les allégations relatives à l’exercice de l’autorité parentale</x:v>
      </x:c>
      <x:c r="D79" s="12" t="str">
        <x:v>P-[●]</x:v>
      </x:c>
      <x:c r="E79" s="12" t="n">
        <x:v>1</x:v>
      </x:c>
      <x:c r="F79" s="12" t="str">
        <x:v>context_required</x:v>
      </x:c>
      <x:c r="G79" s="12" t="str"/>
      <x:c r="H79" s="12" t="str">
        <x:v>generic_or_section_local_placeholder</x:v>
      </x:c>
      <x:c r="I79" s="12" t="str">
        <x:v>252. Le 1er août 2015, le demandeur a demandé à la défenderesse de vérifier la possibilité qu’elle assume seule certains attributs de l’autorité parentale et a indiqué ne plus vouloir signer de documents ni être consulté relativement notamment aux voyages, à l’école, aux traitements et aux consultations psychologiques, tel qu’il appert des messages produits comme pièce P-[●].</x:v>
      </x:c>
    </x:row>
    <x:row r="80">
      <x:c r="A80" s="12" t="n">
        <x:v>654</x:v>
      </x:c>
      <x:c r="B80" s="12" t="str">
        <x:v>254</x:v>
      </x:c>
      <x:c r="C80" s="12" t="str">
        <x:v>Les allégations relatives à l’exercice de l’autorité parentale</x:v>
      </x:c>
      <x:c r="D80" s="12" t="str">
        <x:v>P-[●]</x:v>
      </x:c>
      <x:c r="E80" s="12" t="n">
        <x:v>1</x:v>
      </x:c>
      <x:c r="F80" s="12" t="str">
        <x:v>context_required</x:v>
      </x:c>
      <x:c r="G80" s="12" t="str"/>
      <x:c r="H80" s="12" t="str">
        <x:v>generic_or_section_local_placeholder</x:v>
      </x:c>
      <x:c r="I80" s="12" t="str">
        <x:v>254. Le 13 août 2015, un projet de consentement préparé par Me Marie-Josée Ayoub prévoyait, à son article 2, que les parties continueraient d’exercer conjointement l’autorité parentale et proposait, à son article 3, que la défenderesse prenne seule les décisions concernant les enfants, tel qu’il appert du projet produit comme pièce P-[●].</x:v>
      </x:c>
    </x:row>
    <x:row r="81">
      <x:c r="A81" s="12" t="n">
        <x:v>660</x:v>
      </x:c>
      <x:c r="B81" s="12" t="str">
        <x:v>257</x:v>
      </x:c>
      <x:c r="C81" s="12" t="str">
        <x:v>Les allégations relatives à l’exercice de l’autorité parentale</x:v>
      </x:c>
      <x:c r="D81" s="12" t="str">
        <x:v>P-[●]</x:v>
      </x:c>
      <x:c r="E81" s="12" t="n">
        <x:v>1</x:v>
      </x:c>
      <x:c r="F81" s="12" t="str">
        <x:v>context_required</x:v>
      </x:c>
      <x:c r="G81" s="12" t="str"/>
      <x:c r="H81" s="12" t="str">
        <x:v>generic_or_section_local_placeholder</x:v>
      </x:c>
      <x:c r="I81" s="12" t="str">
        <x:v>257. Le 2 septembre 2015, par l’entremise de son procureur, le demandeur a formellement exigé le retrait de l’article 3 du projet, au motif qu’il ne consentait pas à ce que la défenderesse prenne toutes les décisions concernant les enfants, tel qu’il appert de la lettre produite comme pièce P-[●].</x:v>
      </x:c>
    </x:row>
    <x:row r="82">
      <x:c r="A82" s="12" t="n">
        <x:v>679</x:v>
      </x:c>
      <x:c r="B82" s="12" t="str">
        <x:v>266</x:v>
      </x:c>
      <x:c r="C82" s="12" t="str">
        <x:v>Les allégations relatives à l’utilisation des assurances collectives des enfants</x:v>
      </x:c>
      <x:c r="D82" s="12" t="str">
        <x:v>P-[●]</x:v>
      </x:c>
      <x:c r="E82" s="12" t="n">
        <x:v>1</x:v>
      </x:c>
      <x:c r="F82" s="12" t="str">
        <x:v>context_required</x:v>
      </x:c>
      <x:c r="G82" s="12" t="str"/>
      <x:c r="H82" s="12" t="str">
        <x:v>generic_or_section_local_placeholder</x:v>
      </x:c>
      <x:c r="I82" s="12" t="str">
        <x:v>266. Le 19 novembre 2015, dans le dossier de la Cour supérieure portant le numéro 505-04-024603-151, la défenderesse, alors demanderesse, a produit une requête appuyée de son serment, laquelle est produite au soutien des présentes comme pièce P-[●].</x:v>
      </x:c>
    </x:row>
    <x:row r="83">
      <x:c r="A83" s="12" t="n">
        <x:v>693</x:v>
      </x:c>
      <x:c r="B83" s="12" t="str">
        <x:v>271</x:v>
      </x:c>
      <x:c r="C83" s="12" t="str">
        <x:v>Les allégations relatives à l’utilisation des assurances collectives des enfants</x:v>
      </x:c>
      <x:c r="D83" s="12" t="str">
        <x:v>P-[●]</x:v>
      </x:c>
      <x:c r="E83" s="12" t="n">
        <x:v>1</x:v>
      </x:c>
      <x:c r="F83" s="12" t="str">
        <x:v>context_required</x:v>
      </x:c>
      <x:c r="G83" s="12" t="str"/>
      <x:c r="H83" s="12" t="str">
        <x:v>generic_or_section_local_placeholder</x:v>
      </x:c>
      <x:c r="I83" s="12" t="str">
        <x:v>271. Les relevés de l’assureur pour les années 2015 et 2016, produits comme pièces P-[●] et P-[●], font état de seize transactions inscrites au nom des enfants entre le 25 février 2015 et le 16 mai 2016.</x:v>
      </x:c>
    </x:row>
    <x:row r="84">
      <x:c r="A84" s="12" t="n">
        <x:v>693</x:v>
      </x:c>
      <x:c r="B84" s="12" t="str">
        <x:v>271</x:v>
      </x:c>
      <x:c r="C84" s="12" t="str">
        <x:v>Les allégations relatives à l’utilisation des assurances collectives des enfants</x:v>
      </x:c>
      <x:c r="D84" s="12" t="str">
        <x:v>P-[●]</x:v>
      </x:c>
      <x:c r="E84" s="12" t="n">
        <x:v>2</x:v>
      </x:c>
      <x:c r="F84" s="12" t="str">
        <x:v>context_required</x:v>
      </x:c>
      <x:c r="G84" s="12" t="str"/>
      <x:c r="H84" s="12" t="str">
        <x:v>generic_or_section_local_placeholder</x:v>
      </x:c>
      <x:c r="I84" s="12" t="str">
        <x:v>271. Les relevés de l’assureur pour les années 2015 et 2016, produits comme pièces P-[●] et P-[●], font état de seize transactions inscrites au nom des enfants entre le 25 février 2015 et le 16 mai 2016.</x:v>
      </x:c>
    </x:row>
    <x:row r="85">
      <x:c r="A85" s="12" t="n">
        <x:v>709</x:v>
      </x:c>
      <x:c r="B85" s="12" t="str">
        <x:v>279</x:v>
      </x:c>
      <x:c r="C85" s="12" t="str">
        <x:v>Les allégations relatives à l’utilisation des assurances collectives des enfants</x:v>
      </x:c>
      <x:c r="D85" s="12" t="str">
        <x:v>P-[●]</x:v>
      </x:c>
      <x:c r="E85" s="12" t="n">
        <x:v>1</x:v>
      </x:c>
      <x:c r="F85" s="12" t="str">
        <x:v>context_required</x:v>
      </x:c>
      <x:c r="G85" s="12" t="str"/>
      <x:c r="H85" s="12" t="str">
        <x:v>generic_or_section_local_placeholder</x:v>
      </x:c>
      <x:c r="I85" s="12" t="str">
        <x:v>279. Les réclamations présentées au bénéfice des enfants étaient traitées suivant leur admissibilité, la nature de la dépense et les conditions du régime, sans que le demandeur soit appelé à autoriser individuellement chacune des transactions, tel qu’il appert de la documentation du régime produite comme pièce P-[●].</x:v>
      </x:c>
    </x:row>
    <x:row r="86">
      <x:c r="A86" s="12" t="n">
        <x:v>917</x:v>
      </x:c>
      <x:c r="B86" s="12" t="str">
        <x:v>358</x:v>
      </x:c>
      <x:c r="C86" s="12" t="str">
        <x:v>Les allégations relatives aux prétendues demandes répétées de remboursement de frais médicaux</x:v>
      </x:c>
      <x:c r="D86" s="12" t="str">
        <x:v>P-[●]</x:v>
      </x:c>
      <x:c r="E86" s="12" t="n">
        <x:v>1</x:v>
      </x:c>
      <x:c r="F86" s="12" t="str">
        <x:v>context_required</x:v>
      </x:c>
      <x:c r="G86" s="12" t="str"/>
      <x:c r="H86" s="12" t="str">
        <x:v>generic_or_section_local_placeholder</x:v>
      </x:c>
      <x:c r="I86" s="12" t="str">
        <x:v>358. Le 14 janvier 2016, un jugement a été rendu dans le dossier de la Cour supérieure portant le numéro 505-04-024603-151, lequel est produit au soutien des présentes comme pièce P-[●].</x:v>
      </x:c>
    </x:row>
    <x:row r="87">
      <x:c r="A87" s="12" t="n">
        <x:v>923</x:v>
      </x:c>
      <x:c r="B87" s="12" t="str">
        <x:v>361</x:v>
      </x:c>
      <x:c r="C87" s="12" t="str">
        <x:v>Les allégations relatives aux prétendues demandes répétées de remboursement de frais médicaux</x:v>
      </x:c>
      <x:c r="D87" s="12" t="str">
        <x:v>P-[●]</x:v>
      </x:c>
      <x:c r="E87" s="12" t="n">
        <x:v>1</x:v>
      </x:c>
      <x:c r="F87" s="12" t="str">
        <x:v>context_required</x:v>
      </x:c>
      <x:c r="G87" s="12" t="str"/>
      <x:c r="H87" s="12" t="str">
        <x:v>generic_or_section_local_placeholder</x:v>
      </x:c>
      <x:c r="I87" s="12" t="str">
        <x:v>361. Le 26 septembre 2016, la défenderesse Élise Ayoub a demandé au demandeur de cesser de communiquer directement avec elle, tel qu’il appert du courriel produit comme pièce P-[●].</x:v>
      </x:c>
    </x:row>
    <x:row r="88">
      <x:c r="A88" s="12" t="n">
        <x:v>929</x:v>
      </x:c>
      <x:c r="B88" s="12" t="str">
        <x:v>364</x:v>
      </x:c>
      <x:c r="C88" s="12" t="str">
        <x:v>Les allégations relatives aux prétendues demandes répétées de remboursement de frais médicaux</x:v>
      </x:c>
      <x:c r="D88" s="12" t="str">
        <x:v>P-[●]</x:v>
      </x:c>
      <x:c r="E88" s="12" t="n">
        <x:v>1</x:v>
      </x:c>
      <x:c r="F88" s="12" t="str">
        <x:v>context_required</x:v>
      </x:c>
      <x:c r="G88" s="12" t="str"/>
      <x:c r="H88" s="12" t="str">
        <x:v>generic_or_section_local_placeholder</x:v>
      </x:c>
      <x:c r="I88" s="12" t="str">
        <x:v>364. Le 21 octobre 2019, Élise Ayoub a signé sous serment une déclaration préparée par sa procureure, la défenderesse Me Marie-Josée Ayoub, laquelle est produite comme pièce P-[●].</x:v>
      </x:c>
    </x:row>
    <x:row r="89">
      <x:c r="A89" s="12" t="n">
        <x:v>951</x:v>
      </x:c>
      <x:c r="B89" s="12" t="str">
        <x:v>369</x:v>
      </x:c>
      <x:c r="C89" s="12" t="str">
        <x:v>Les allégations relatives aux prétendues demandes répétées de remboursement de frais médicaux</x:v>
      </x:c>
      <x:c r="D89" s="12" t="str">
        <x:v>P-[●]</x:v>
      </x:c>
      <x:c r="E89" s="12" t="n">
        <x:v>1</x:v>
      </x:c>
      <x:c r="F89" s="12" t="str">
        <x:v>context_required</x:v>
      </x:c>
      <x:c r="G89" s="12" t="str"/>
      <x:c r="H89" s="12" t="str">
        <x:v>generic_or_section_local_placeholder</x:v>
      </x:c>
      <x:c r="I89" s="12" t="str">
        <x:v>le tout tel qu’il appert du courriel produit comme pièce P-[●].</x:v>
      </x:c>
    </x:row>
    <x:row r="90">
      <x:c r="A90" s="12" t="n">
        <x:v>972</x:v>
      </x:c>
      <x:c r="B90" s="12" t="str">
        <x:v>379</x:v>
      </x:c>
      <x:c r="C90" s="12" t="str">
        <x:v>L’allégation relative à la contribution financière de la grand-mère paternelle</x:v>
      </x:c>
      <x:c r="D90" s="12" t="str">
        <x:v>P-[●]</x:v>
      </x:c>
      <x:c r="E90" s="12" t="n">
        <x:v>1</x:v>
      </x:c>
      <x:c r="F90" s="12" t="str">
        <x:v>context_required</x:v>
      </x:c>
      <x:c r="G90" s="12" t="str"/>
      <x:c r="H90" s="12" t="str">
        <x:v>generic_or_section_local_placeholder</x:v>
      </x:c>
      <x:c r="I90" s="12" t="str">
        <x:v>379. Le 21 octobre 2019, dans le dossier de la Cour supérieure portant le numéro 505-04-024603-151, la défenderesse Élise Ayoub a signé une déclaration sous serment préparée avec l’assistance de sa procureure, la défenderesse Me Marie-Josée Ayoub, laquelle est produite au soutien des présentes comme pièce P-[●].</x:v>
      </x:c>
    </x:row>
    <x:row r="91">
      <x:c r="A91" s="12" t="n">
        <x:v>986</x:v>
      </x:c>
      <x:c r="B91" s="12" t="str">
        <x:v>385</x:v>
      </x:c>
      <x:c r="C91" s="12" t="str">
        <x:v>L’allégation relative à la contribution financière de la grand-mère paternelle</x:v>
      </x:c>
      <x:c r="D91" s="12" t="str">
        <x:v>P-[●]</x:v>
      </x:c>
      <x:c r="E91" s="12" t="n">
        <x:v>1</x:v>
      </x:c>
      <x:c r="F91" s="12" t="str">
        <x:v>context_required</x:v>
      </x:c>
      <x:c r="G91" s="12" t="str"/>
      <x:c r="H91" s="12" t="str">
        <x:v>generic_or_section_local_placeholder</x:v>
      </x:c>
      <x:c r="I91" s="12" t="str">
        <x:v>385. Or, le 6 juin 2019, le demandeur avait lui-même écrit à la défenderesse Me Marie-Josée Ayoub, alors procureure d’Élise Ayoub, afin de l’informer que sa mère contribuait une somme de 1 000 $ au bénéfice des enfants, qu’il avait acheminé cette somme par l’intermédiaire de Revenu Québec et qu’Élise Ayoub devait la recevoir sous peu, tel qu’il appert du courriel produit comme pièce P-[●].</x:v>
      </x:c>
    </x:row>
    <x:row r="92">
      <x:c r="A92" s="12" t="n">
        <x:v>990</x:v>
      </x:c>
      <x:c r="B92" s="12" t="str">
        <x:v>387</x:v>
      </x:c>
      <x:c r="C92" s="12" t="str">
        <x:v>L’allégation relative à la contribution financière de la grand-mère paternelle</x:v>
      </x:c>
      <x:c r="D92" s="12" t="str">
        <x:v>P-[●]</x:v>
      </x:c>
      <x:c r="E92" s="12" t="n">
        <x:v>1</x:v>
      </x:c>
      <x:c r="F92" s="12" t="str">
        <x:v>context_required</x:v>
      </x:c>
      <x:c r="G92" s="12" t="str"/>
      <x:c r="H92" s="12" t="str">
        <x:v>generic_or_section_local_placeholder</x:v>
      </x:c>
      <x:c r="I92" s="12" t="str">
        <x:v>387. Le relevé de compte de Revenu Québec relatif au dossier de pension alimentaire dans lequel Élise Ayoub est identifiée comme créancière et le demandeur comme débiteur comporte, à la date de prise d’effet du 6 juin 2019, l’inscription d’un « paiement reçu » de 1 000 $, tel qu’il appert du relevé produit comme pièce P-[●].</x:v>
      </x:c>
    </x:row>
    <x:row r="93">
      <x:c r="A93" s="12" t="n">
        <x:v>1020</x:v>
      </x:c>
      <x:c r="B93" s="12" t="str">
        <x:v>400</x:v>
      </x:c>
      <x:c r="C93" s="12" t="str">
        <x:v>Les allégations relatives au prétendu choix du demandeur de ne pas travailler pour subvenir aux besoins de ses enfants (dénonciation du 21 juillet 2023)</x:v>
      </x:c>
      <x:c r="D93" s="12" t="str">
        <x:v>P-[●]</x:v>
      </x:c>
      <x:c r="E93" s="12" t="n">
        <x:v>1</x:v>
      </x:c>
      <x:c r="F93" s="12" t="str">
        <x:v>context_required</x:v>
      </x:c>
      <x:c r="G93" s="12" t="str"/>
      <x:c r="H93" s="12" t="str">
        <x:v>generic_or_section_local_placeholder</x:v>
      </x:c>
      <x:c r="I93" s="12" t="str">
        <x:v>400. Le 21 juillet 2023, dans le dossier de la Cour supérieure opposant les parties, la défenderesse Élise Ayoub a signé sous serment une dénonciation d’un moyen déclinatoire, préparée avec l’assistance de sa procureure, la défenderesse Me Marie-Josée Ayoub, laquelle est produite au soutien des présentes comme pièce P-[●].</x:v>
      </x:c>
    </x:row>
    <x:row r="94">
      <x:c r="A94" s="12" t="n">
        <x:v>1038</x:v>
      </x:c>
      <x:c r="B94" s="12" t="str">
        <x:v>406</x:v>
      </x:c>
      <x:c r="C94" s="12" t="str">
        <x:v>Les faits admis relatifs à la situation financière du demandeur</x:v>
      </x:c>
      <x:c r="D94" s="12" t="str">
        <x:v>P-[●]</x:v>
      </x:c>
      <x:c r="E94" s="12" t="n">
        <x:v>1</x:v>
      </x:c>
      <x:c r="F94" s="12" t="str">
        <x:v>context_required</x:v>
      </x:c>
      <x:c r="G94" s="12" t="str"/>
      <x:c r="H94" s="12" t="str">
        <x:v>generic_or_section_local_placeholder</x:v>
      </x:c>
      <x:c r="I94" s="12" t="str">
        <x:v>406. Le demandeur a perdu son emploi au mois de juin 2018, tel qu’il appert de la pièce P-[●].</x:v>
      </x:c>
    </x:row>
    <x:row r="95">
      <x:c r="A95" s="12" t="n">
        <x:v>1040</x:v>
      </x:c>
      <x:c r="B95" s="12" t="str">
        <x:v>407</x:v>
      </x:c>
      <x:c r="C95" s="12" t="str">
        <x:v>Les faits admis relatifs à la situation financière du demandeur</x:v>
      </x:c>
      <x:c r="D95" s="12" t="str">
        <x:v>P-[●]</x:v>
      </x:c>
      <x:c r="E95" s="12" t="n">
        <x:v>1</x:v>
      </x:c>
      <x:c r="F95" s="12" t="str">
        <x:v>context_required</x:v>
      </x:c>
      <x:c r="G95" s="12" t="str"/>
      <x:c r="H95" s="12" t="str">
        <x:v>generic_or_section_local_placeholder</x:v>
      </x:c>
      <x:c r="I95" s="12" t="str">
        <x:v>407. Le 27 septembre 2019, un jugement intérimaire rendu dans le même dossier a constaté « que Monsieur n’a aucun revenu » et a suspendu l’exécution de la pension alimentaire, tel qu’il appert de la pièce P-[●].</x:v>
      </x:c>
    </x:row>
    <x:row r="96">
      <x:c r="A96" s="12" t="n">
        <x:v>1046</x:v>
      </x:c>
      <x:c r="B96" s="12" t="str">
        <x:v>409</x:v>
      </x:c>
      <x:c r="C96" s="12" t="str">
        <x:v>Le profil professionnel invoqué et les revenus qui y sont associés</x:v>
      </x:c>
      <x:c r="D96" s="12" t="str">
        <x:v>P-[●]</x:v>
      </x:c>
      <x:c r="E96" s="12" t="n">
        <x:v>1</x:v>
      </x:c>
      <x:c r="F96" s="12" t="str">
        <x:v>context_required</x:v>
      </x:c>
      <x:c r="G96" s="12" t="str"/>
      <x:c r="H96" s="12" t="str">
        <x:v>generic_or_section_local_placeholder</x:v>
      </x:c>
      <x:c r="I96" s="12" t="str">
        <x:v>409. Dans une déclaration sous serment signée le 21 octobre 2019 et préparée par la défenderesse Me Marie-Josée Ayoub, la défenderesse Élise Ayoub avait défini le profil professionnel du demandeur comme celui d’un analyste, d’un technicien en laboratoire et d’un représentant au service à la clientèle dans le domaine bancaire, tel qu’il appert de la pièce P-[●].</x:v>
      </x:c>
    </x:row>
    <x:row r="97">
      <x:c r="A97" s="12" t="n">
        <x:v>1048</x:v>
      </x:c>
      <x:c r="B97" s="12" t="str">
        <x:v>410</x:v>
      </x:c>
      <x:c r="C97" s="12" t="str">
        <x:v>Le profil professionnel invoqué et les revenus qui y sont associés</x:v>
      </x:c>
      <x:c r="D97" s="12" t="str">
        <x:v>P-[●]</x:v>
      </x:c>
      <x:c r="E97" s="12" t="n">
        <x:v>1</x:v>
      </x:c>
      <x:c r="F97" s="12" t="str">
        <x:v>context_required</x:v>
      </x:c>
      <x:c r="G97" s="12" t="str"/>
      <x:c r="H97" s="12" t="str">
        <x:v>generic_or_section_local_placeholder</x:v>
      </x:c>
      <x:c r="I97" s="12" t="str">
        <x:v>410. Selon les données publiées par les autorités gouvernementales, le salaire médian associé à l’emploi de technicien en pharmacie était d’environ 17,00 $ l’heure, soit environ 35 360 $ par année, et celui de représentant au service à la clientèle dans le domaine financier d’environ 20,50 $ l’heure, soit environ 42 640 $ par année, tel qu’il appert de la pièce P-[●].</x:v>
      </x:c>
    </x:row>
    <x:row r="98">
      <x:c r="A98" s="12" t="n">
        <x:v>1050</x:v>
      </x:c>
      <x:c r="B98" s="12" t="str">
        <x:v>411</x:v>
      </x:c>
      <x:c r="C98" s="12" t="str">
        <x:v>Le profil professionnel invoqué et les revenus qui y sont associés</x:v>
      </x:c>
      <x:c r="D98" s="12" t="str">
        <x:v>P-[●]</x:v>
      </x:c>
      <x:c r="E98" s="12" t="n">
        <x:v>1</x:v>
      </x:c>
      <x:c r="F98" s="12" t="str">
        <x:v>context_required</x:v>
      </x:c>
      <x:c r="G98" s="12" t="str"/>
      <x:c r="H98" s="12" t="str">
        <x:v>generic_or_section_local_placeholder</x:v>
      </x:c>
      <x:c r="I98" s="12" t="str">
        <x:v>411. Le revenu déclaré du demandeur pour l’année 2019 était de 46 743,58 $, et son revenu d’emploi pour l’année 2018 était de 47 520,51 $, tel qu’il appert des pièces P-[●] et P-[●].</x:v>
      </x:c>
    </x:row>
    <x:row r="99">
      <x:c r="A99" s="12" t="n">
        <x:v>1050</x:v>
      </x:c>
      <x:c r="B99" s="12" t="str">
        <x:v>411</x:v>
      </x:c>
      <x:c r="C99" s="12" t="str">
        <x:v>Le profil professionnel invoqué et les revenus qui y sont associés</x:v>
      </x:c>
      <x:c r="D99" s="12" t="str">
        <x:v>P-[●]</x:v>
      </x:c>
      <x:c r="E99" s="12" t="n">
        <x:v>2</x:v>
      </x:c>
      <x:c r="F99" s="12" t="str">
        <x:v>context_required</x:v>
      </x:c>
      <x:c r="G99" s="12" t="str"/>
      <x:c r="H99" s="12" t="str">
        <x:v>generic_or_section_local_placeholder</x:v>
      </x:c>
      <x:c r="I99" s="12" t="str">
        <x:v>411. Le revenu déclaré du demandeur pour l’année 2019 était de 46 743,58 $, et son revenu d’emploi pour l’année 2018 était de 47 520,51 $, tel qu’il appert des pièces P-[●] et P-[●].</x:v>
      </x:c>
    </x:row>
    <x:row r="100">
      <x:c r="A100" s="12" t="n">
        <x:v>1058</x:v>
      </x:c>
      <x:c r="B100" s="12" t="str">
        <x:v>414</x:v>
      </x:c>
      <x:c r="C100" s="12" t="str">
        <x:v>La liste d’offres d’emploi visée au paragraphe 7</x:v>
      </x:c>
      <x:c r="D100" s="12" t="str">
        <x:v>P-[●]</x:v>
      </x:c>
      <x:c r="E100" s="12" t="n">
        <x:v>1</x:v>
      </x:c>
      <x:c r="F100" s="12" t="str">
        <x:v>context_required</x:v>
      </x:c>
      <x:c r="G100" s="12" t="str"/>
      <x:c r="H100" s="12" t="str">
        <x:v>generic_or_section_local_placeholder</x:v>
      </x:c>
      <x:c r="I100" s="12" t="str">
        <x:v>414. La liste d’offres d’emploi visée au paragraphe 7 de la dénonciation a été déposée à l’audience du 4 novembre 2019, à 10 h 38 min 50 s, pendant le témoignage de la défenderesse Élise Ayoub interrogée par sa procureure, sans communication préalable au demandeur, tel qu’il appert du procès-verbal produit comme pièce P-[●].</x:v>
      </x:c>
    </x:row>
    <x:row r="101">
      <x:c r="A101" s="12" t="n">
        <x:v>1068</x:v>
      </x:c>
      <x:c r="B101" s="12" t="str">
        <x:v>418</x:v>
      </x:c>
      <x:c r="C101" s="12" t="str">
        <x:v>Les démarches d’emploi et les contraintes du demandeur</x:v>
      </x:c>
      <x:c r="D101" s="12" t="str">
        <x:v>P-[●]</x:v>
      </x:c>
      <x:c r="E101" s="12" t="n">
        <x:v>1</x:v>
      </x:c>
      <x:c r="F101" s="12" t="str">
        <x:v>context_required</x:v>
      </x:c>
      <x:c r="G101" s="12" t="str"/>
      <x:c r="H101" s="12" t="str">
        <x:v>generic_or_section_local_placeholder</x:v>
      </x:c>
      <x:c r="I101" s="12" t="str">
        <x:v>418. Le 15 octobre 2019, le demandeur avait transmis à la défenderesse Me Marie-Josée Ayoub l’archive de ses démarches de recherche d’emploi, tel qu’il appert de la pièce P-[●].</x:v>
      </x:c>
    </x:row>
    <x:row r="102">
      <x:c r="A102" s="12" t="n">
        <x:v>1072</x:v>
      </x:c>
      <x:c r="B102" s="12" t="str">
        <x:v>420</x:v>
      </x:c>
      <x:c r="C102" s="12" t="str">
        <x:v>Les démarches d’emploi et les contraintes du demandeur</x:v>
      </x:c>
      <x:c r="D102" s="12" t="str">
        <x:v>P-[●]</x:v>
      </x:c>
      <x:c r="E102" s="12" t="n">
        <x:v>1</x:v>
      </x:c>
      <x:c r="F102" s="12" t="str">
        <x:v>context_required</x:v>
      </x:c>
      <x:c r="G102" s="12" t="str"/>
      <x:c r="H102" s="12" t="str">
        <x:v>generic_or_section_local_placeholder</x:v>
      </x:c>
      <x:c r="I102" s="12" t="str">
        <x:v>420. Le 17 février 2020, le demandeur a informé la défenderesse Me Marie-Josée Ayoub que la suspension de son passeport l’empêchait de quitter le pays pour y occuper un emploi, tel qu’il appert de la pièce P-[●].</x:v>
      </x:c>
    </x:row>
    <x:row r="103">
      <x:c r="A103" s="12" t="n">
        <x:v>1074</x:v>
      </x:c>
      <x:c r="B103" s="12" t="str">
        <x:v>421</x:v>
      </x:c>
      <x:c r="C103" s="12" t="str">
        <x:v>Les démarches d’emploi et les contraintes du demandeur</x:v>
      </x:c>
      <x:c r="D103" s="12" t="str">
        <x:v>P-[●]</x:v>
      </x:c>
      <x:c r="E103" s="12" t="n">
        <x:v>1</x:v>
      </x:c>
      <x:c r="F103" s="12" t="str">
        <x:v>context_required</x:v>
      </x:c>
      <x:c r="G103" s="12" t="str"/>
      <x:c r="H103" s="12" t="str">
        <x:v>generic_or_section_local_placeholder</x:v>
      </x:c>
      <x:c r="I103" s="12" t="str">
        <x:v>421. Le 17 avril 2020, le demandeur a écrit à la défenderesse Me Marie-Josée Ayoub qu’il arrivait à la fin de ses économies et qu’il ne s’était pas trouvé d’emploi au revenu de 65 000 $ par année retenu par le Tribunal, tel qu’il appert de la pièce P-[●].</x:v>
      </x:c>
    </x:row>
    <x:row r="104">
      <x:c r="A104" s="14" t="n">
        <x:v>1076</x:v>
      </x:c>
      <x:c r="B104" s="14" t="str">
        <x:v>422</x:v>
      </x:c>
      <x:c r="C104" s="14" t="str">
        <x:v>Les démarches d’emploi et les contraintes du demandeur</x:v>
      </x:c>
      <x:c r="D104" s="14" t="str">
        <x:v>P-[●]</x:v>
      </x:c>
      <x:c r="E104" s="14" t="n">
        <x:v>1</x:v>
      </x:c>
      <x:c r="F104" s="14" t="str">
        <x:v>context_required</x:v>
      </x:c>
      <x:c r="G104" s="14" t="str"/>
      <x:c r="H104" s="14" t="str">
        <x:v>generic_or_section_local_placeholder</x:v>
      </x:c>
      <x:c r="I104" s="14" t="str">
        <x:v>422. Le 22 juin 2020, le demandeur a écrit à la défenderesse Élise Ayoub qu’il n’existait pas d’emploi de centre d’appels ou de technicien en laboratoire au salaire de 65 000 $ par année et que son absence d’emploi à ce salaire n’était pas due à sa mauvaise foi, tel qu’il appert de la pièce P-[●].</x:v>
      </x:c>
    </x:row>
  </x:sheetData>
  <x:mergeCells>
    <x:mergeCell ref="A1:I1"/>
  </x:mergeCells>
  <x:conditionalFormatting sqref="F4:F104">
    <x:cfRule type="containsText" dxfId="3" priority="1" operator="containsText" text="missing"/>
    <x:cfRule type="containsText" dxfId="4" priority="2" operator="containsText" text="proposed_strong"/>
  </x:conditionalFormatting>
  <x:pageMargins left="0.7" right="0.7" top="0.75" bottom="0.75" header="0.3" footer="0.3"/>
  <x:tableParts count="1">
    <x:tablePart xmlns:r="http://schemas.openxmlformats.org/officeDocument/2006/relationships" r:id="R41f651395be1402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4" hidden="0" customWidth="1"/>
    <x:col min="2" max="2" width="12" hidden="0" customWidth="1"/>
    <x:col min="3" max="3" width="16" hidden="0" customWidth="1"/>
    <x:col min="4" max="4" width="44" hidden="0" customWidth="1"/>
    <x:col min="5" max="5" width="12" hidden="0" customWidth="1"/>
    <x:col min="6" max="6" width="20" hidden="0" customWidth="1"/>
    <x:col min="7" max="7" width="16" hidden="0" customWidth="1"/>
    <x:col min="8" max="8" width="58" hidden="0" customWidth="1"/>
    <x:col min="9" max="9" width="24" hidden="0" customWidth="1"/>
    <x:col min="10" max="10" width="16" hidden="0" customWidth="1"/>
  </x:cols>
  <x:sheetData>
    <x:row r="1" ht="28" customHeight="1">
      <x:c r="A1" s="2" t="str">
        <x:v>Index P-43</x:v>
      </x:c>
      <x:c r="B1" s="2" t="str">
        <x:v>Index P-43</x:v>
      </x:c>
      <x:c r="C1" s="2" t="str">
        <x:v>Index P-43</x:v>
      </x:c>
      <x:c r="D1" s="2" t="str">
        <x:v>Index P-43</x:v>
      </x:c>
      <x:c r="E1" s="2" t="str">
        <x:v>Index P-43</x:v>
      </x:c>
      <x:c r="F1" s="2" t="str">
        <x:v>Index P-43</x:v>
      </x:c>
      <x:c r="G1" s="2" t="str">
        <x:v>Index P-43</x:v>
      </x:c>
      <x:c r="H1" s="2" t="str">
        <x:v>Index P-43</x:v>
      </x:c>
      <x:c r="I1" s="2" t="str">
        <x:v>Index P-43</x:v>
      </x:c>
      <x:c r="J1" s="2" t="str">
        <x:v>Index P-43</x:v>
      </x:c>
    </x:row>
    <x:row r="3" ht="30" customHeight="1">
      <x:c r="A3" s="4" t="str">
        <x:v>sub_cote</x:v>
      </x:c>
      <x:c r="B3" s="4" t="str">
        <x:v>occurrence_order</x:v>
      </x:c>
      <x:c r="C3" s="4" t="str">
        <x:v>date</x:v>
      </x:c>
      <x:c r="D3" s="4" t="str">
        <x:v>description</x:v>
      </x:c>
      <x:c r="E3" s="4" t="str">
        <x:v>component_order</x:v>
      </x:c>
      <x:c r="F3" s="4" t="str">
        <x:v>canonical_key</x:v>
      </x:c>
      <x:c r="G3" s="4" t="str">
        <x:v>role</x:v>
      </x:c>
      <x:c r="H3" s="4" t="str">
        <x:v>original_filename</x:v>
      </x:c>
      <x:c r="I3" s="4" t="str">
        <x:v>pleading_paragraphs</x:v>
      </x:c>
      <x:c r="J3" s="4" t="str">
        <x:v>counted_occurrence</x:v>
      </x:c>
    </x:row>
    <x:row r="4">
      <x:c r="A4" s="10" t="str">
        <x:v>P-43.1</x:v>
      </x:c>
      <x:c r="B4" s="10" t="str">
        <x:v>1</x:v>
      </x:c>
      <x:c r="C4" s="10" t="str">
        <x:v>2011-03-07</x:v>
      </x:c>
      <x:c r="D4" s="10" t="str">
        <x:v>Gardienne indisponible et journée auprès d'Alexia</x:v>
      </x:c>
      <x:c r="E4" s="10" t="str">
        <x:v>1</x:v>
      </x:c>
      <x:c r="F4" s="10" t="str">
        <x:v>Email:69</x:v>
      </x:c>
      <x:c r="G4" s="10" t="str">
        <x:v>principal</x:v>
      </x:c>
      <x:c r="H4" s="10" t="str">
        <x:v>20110307_L_C_Congé_12e903aa310d5f18.eml</x:v>
      </x:c>
      <x:c r="I4" s="10" t="str">
        <x:v>15;87;91</x:v>
      </x:c>
      <x:c r="J4" s="10" t="str">
        <x:v>true</x:v>
      </x:c>
    </x:row>
    <x:row r="5">
      <x:c r="A5" s="12" t="str">
        <x:v>P-43.1</x:v>
      </x:c>
      <x:c r="B5" s="12" t="str">
        <x:v>1</x:v>
      </x:c>
      <x:c r="C5" s="12" t="str">
        <x:v>2011-03-07</x:v>
      </x:c>
      <x:c r="D5" s="12" t="str">
        <x:v>Gardienne indisponible et journée auprès d'Alexia</x:v>
      </x:c>
      <x:c r="E5" s="12" t="str">
        <x:v>2</x:v>
      </x:c>
      <x:c r="F5" s="12" t="str">
        <x:v>Email:68</x:v>
      </x:c>
      <x:c r="G5" s="12" t="str">
        <x:v>contexte</x:v>
      </x:c>
      <x:c r="H5" s="12" t="str">
        <x:v>20110307_L_L_Re_RE_Congé_12e9107a95a6c474.eml</x:v>
      </x:c>
      <x:c r="I5" s="12" t="str">
        <x:v>15;87;91</x:v>
      </x:c>
      <x:c r="J5" s="12" t="str">
        <x:v>false</x:v>
      </x:c>
    </x:row>
    <x:row r="6">
      <x:c r="A6" s="12" t="str">
        <x:v>P-43.2</x:v>
      </x:c>
      <x:c r="B6" s="12" t="str">
        <x:v>2</x:v>
      </x:c>
      <x:c r="C6" s="12" t="str">
        <x:v>2011-05-02</x:v>
      </x:c>
      <x:c r="D6" s="12" t="str">
        <x:v>Maladie d'Alexia et consultation médicale</x:v>
      </x:c>
      <x:c r="E6" s="12" t="str">
        <x:v>1</x:v>
      </x:c>
      <x:c r="F6" s="12" t="str">
        <x:v>Email:64</x:v>
      </x:c>
      <x:c r="G6" s="12" t="str">
        <x:v>principal</x:v>
      </x:c>
      <x:c r="H6" s="12" t="str">
        <x:v>20110502_L_C_Today_12fb058ed625bfb2.eml</x:v>
      </x:c>
      <x:c r="I6" s="12" t="str">
        <x:v>15;88;91</x:v>
      </x:c>
      <x:c r="J6" s="12" t="str">
        <x:v>true</x:v>
      </x:c>
    </x:row>
    <x:row r="7">
      <x:c r="A7" s="12" t="str">
        <x:v>P-43.2</x:v>
      </x:c>
      <x:c r="B7" s="12" t="str">
        <x:v>2</x:v>
      </x:c>
      <x:c r="C7" s="12" t="str">
        <x:v>2011-05-03</x:v>
      </x:c>
      <x:c r="D7" s="12" t="str">
        <x:v>Suivi de la consultation médicale</x:v>
      </x:c>
      <x:c r="E7" s="12" t="str">
        <x:v>2</x:v>
      </x:c>
      <x:c r="F7" s="12" t="str">
        <x:v>Email:118</x:v>
      </x:c>
      <x:c r="G7" s="12" t="str">
        <x:v>suivi</x:v>
      </x:c>
      <x:c r="H7" s="12" t="str">
        <x:v>20110503_L_L_Re_RE_Today_12fb81e70b0e1768.eml</x:v>
      </x:c>
      <x:c r="I7" s="12" t="str">
        <x:v>15;88;91</x:v>
      </x:c>
      <x:c r="J7" s="12" t="str">
        <x:v>false</x:v>
      </x:c>
    </x:row>
    <x:row r="8">
      <x:c r="A8" s="12" t="str">
        <x:v>P-43.3</x:v>
      </x:c>
      <x:c r="B8" s="12" t="str">
        <x:v>3</x:v>
      </x:c>
      <x:c r="C8" s="12" t="str">
        <x:v>2011-05-25</x:v>
      </x:c>
      <x:c r="D8" s="12" t="str">
        <x:v>Rendez-vous pédiatrique pour les vaccins d'Alexia</x:v>
      </x:c>
      <x:c r="E8" s="12" t="str">
        <x:v>1</x:v>
      </x:c>
      <x:c r="F8" s="12" t="str">
        <x:v>Email:61</x:v>
      </x:c>
      <x:c r="G8" s="12" t="str">
        <x:v>principal</x:v>
      </x:c>
      <x:c r="H8" s="12" t="str">
        <x:v>20110525_L_C_Reunion_demain_13028e7e613a6b7a.eml</x:v>
      </x:c>
      <x:c r="I8" s="12" t="str">
        <x:v>15;17;89;91</x:v>
      </x:c>
      <x:c r="J8" s="12" t="str">
        <x:v>true</x:v>
      </x:c>
    </x:row>
    <x:row r="9">
      <x:c r="A9" s="12" t="str">
        <x:v>P-43.4</x:v>
      </x:c>
      <x:c r="B9" s="12" t="str">
        <x:v>4</x:v>
      </x:c>
      <x:c r="C9" s="12" t="str">
        <x:v>2011-07-06</x:v>
      </x:c>
      <x:c r="D9" s="12" t="str">
        <x:v>Journée auprès d'Alexia malade</x:v>
      </x:c>
      <x:c r="E9" s="12" t="str">
        <x:v>1</x:v>
      </x:c>
      <x:c r="F9" s="12" t="str">
        <x:v>Email:59</x:v>
      </x:c>
      <x:c r="G9" s="12" t="str">
        <x:v>principal</x:v>
      </x:c>
      <x:c r="H9" s="12" t="str">
        <x:v>20110706_L_C_Today_130ff248b5459abd.eml</x:v>
      </x:c>
      <x:c r="I9" s="12" t="str">
        <x:v>15;90;91;158</x:v>
      </x:c>
      <x:c r="J9" s="12" t="str">
        <x:v>true</x:v>
      </x:c>
    </x:row>
    <x:row r="10">
      <x:c r="A10" s="12" t="str">
        <x:v>P-43.4</x:v>
      </x:c>
      <x:c r="B10" s="12" t="str">
        <x:v>4</x:v>
      </x:c>
      <x:c r="C10" s="12" t="str">
        <x:v>2011-07-06</x:v>
      </x:c>
      <x:c r="D10" s="12" t="str">
        <x:v>Report d'une rencontre professionnelle</x:v>
      </x:c>
      <x:c r="E10" s="12" t="str">
        <x:v>2</x:v>
      </x:c>
      <x:c r="F10" s="12" t="str">
        <x:v>Email:58</x:v>
      </x:c>
      <x:c r="G10" s="12" t="str">
        <x:v>corroboration</x:v>
      </x:c>
      <x:c r="H10" s="12" t="str">
        <x:v>20110706_L_L_Re_Today_130ff6a11cf626bb.eml</x:v>
      </x:c>
      <x:c r="I10" s="12" t="str">
        <x:v>15;90;91;158</x:v>
      </x:c>
      <x:c r="J10" s="12" t="str">
        <x:v>false</x:v>
      </x:c>
    </x:row>
    <x:row r="11">
      <x:c r="A11" s="12" t="str">
        <x:v>P-43.5</x:v>
      </x:c>
      <x:c r="B11" s="12" t="str">
        <x:v>5</x:v>
      </x:c>
      <x:c r="C11" s="12" t="str">
        <x:v>2011-08-29</x:v>
      </x:c>
      <x:c r="D11" s="12" t="str">
        <x:v>Demi-journée auprès d'Alexia</x:v>
      </x:c>
      <x:c r="E11" s="12" t="str">
        <x:v>1</x:v>
      </x:c>
      <x:c r="F11" s="12" t="str">
        <x:v>Email:56</x:v>
      </x:c>
      <x:c r="G11" s="12" t="str">
        <x:v>principal</x:v>
      </x:c>
      <x:c r="H11" s="12" t="str">
        <x:v>20110829_L_C_Avant_midi_132152cd5014f509.eml</x:v>
      </x:c>
      <x:c r="I11" s="12" t="str">
        <x:v>15;91</x:v>
      </x:c>
      <x:c r="J11" s="12" t="str">
        <x:v>true</x:v>
      </x:c>
    </x:row>
    <x:row r="12">
      <x:c r="A12" s="12" t="str">
        <x:v>P-43.6</x:v>
      </x:c>
      <x:c r="B12" s="12" t="str">
        <x:v>6</x:v>
      </x:c>
      <x:c r="C12" s="12" t="str">
        <x:v>2011-09-06</x:v>
      </x:c>
      <x:c r="D12" s="12" t="str">
        <x:v>Journée auprès d'Alexia malade</x:v>
      </x:c>
      <x:c r="E12" s="12" t="str">
        <x:v>1</x:v>
      </x:c>
      <x:c r="F12" s="12" t="str">
        <x:v>Email:55</x:v>
      </x:c>
      <x:c r="G12" s="12" t="str">
        <x:v>principal</x:v>
      </x:c>
      <x:c r="H12" s="12" t="str">
        <x:v>20110906_L_C_N_A_1323e8857fec3cf7.eml</x:v>
      </x:c>
      <x:c r="I12" s="12" t="str">
        <x:v>15;18;91</x:v>
      </x:c>
      <x:c r="J12" s="12" t="str">
        <x:v>true</x:v>
      </x:c>
    </x:row>
    <x:row r="13">
      <x:c r="A13" s="12" t="str">
        <x:v>P-43.7</x:v>
      </x:c>
      <x:c r="B13" s="12" t="str">
        <x:v>7</x:v>
      </x:c>
      <x:c r="C13" s="12" t="str">
        <x:v>2011-12-12</x:v>
      </x:c>
      <x:c r="D13" s="12" t="str">
        <x:v>Journée auprès d'Alexia malade</x:v>
      </x:c>
      <x:c r="E13" s="12" t="str">
        <x:v>1</x:v>
      </x:c>
      <x:c r="F13" s="12" t="str">
        <x:v>Email:53</x:v>
      </x:c>
      <x:c r="G13" s="12" t="str">
        <x:v>principal</x:v>
      </x:c>
      <x:c r="H13" s="12" t="str">
        <x:v>20111212_L_C_Staying_home_today_1343253191baf07b.eml</x:v>
      </x:c>
      <x:c r="I13" s="12" t="str">
        <x:v>15;91</x:v>
      </x:c>
      <x:c r="J13" s="12" t="str">
        <x:v>true</x:v>
      </x:c>
    </x:row>
    <x:row r="14">
      <x:c r="A14" s="12" t="str">
        <x:v>P-43.8</x:v>
      </x:c>
      <x:c r="B14" s="12" t="str">
        <x:v>8</x:v>
      </x:c>
      <x:c r="C14" s="12" t="str">
        <x:v>2011-12-16</x:v>
      </x:c>
      <x:c r="D14" s="12" t="str">
        <x:v>Ressource familiale indisponible</x:v>
      </x:c>
      <x:c r="E14" s="12" t="str">
        <x:v>1</x:v>
      </x:c>
      <x:c r="F14" s="12" t="str">
        <x:v>Email:51</x:v>
      </x:c>
      <x:c r="G14" s="12" t="str">
        <x:v>principal</x:v>
      </x:c>
      <x:c r="H14" s="12" t="str">
        <x:v>20111216_L_C_Today_13446a8264d9c64f.eml</x:v>
      </x:c>
      <x:c r="I14" s="12" t="str">
        <x:v>15;19;91</x:v>
      </x:c>
      <x:c r="J14" s="12" t="str">
        <x:v>true</x:v>
      </x:c>
    </x:row>
    <x:row r="15">
      <x:c r="A15" s="12" t="str">
        <x:v>P-43.9</x:v>
      </x:c>
      <x:c r="B15" s="12" t="str">
        <x:v>9</x:v>
      </x:c>
      <x:c r="C15" s="12" t="str">
        <x:v>2012-05-22</x:v>
      </x:c>
      <x:c r="D15" s="12" t="str">
        <x:v>Journée auprès d'Alexia</x:v>
      </x:c>
      <x:c r="E15" s="12" t="str">
        <x:v>1</x:v>
      </x:c>
      <x:c r="F15" s="12" t="str">
        <x:v>Email:47</x:v>
      </x:c>
      <x:c r="G15" s="12" t="str">
        <x:v>principal</x:v>
      </x:c>
      <x:c r="H15" s="12" t="str">
        <x:v>20120522_L_F_Conge_13774b3a2a98c0d0.eml</x:v>
      </x:c>
      <x:c r="I15" s="12" t="str">
        <x:v>15</x:v>
      </x:c>
      <x:c r="J15" s="12" t="str">
        <x:v>true</x:v>
      </x:c>
    </x:row>
    <x:row r="16">
      <x:c r="A16" s="12" t="str">
        <x:v>P-43.10</x:v>
      </x:c>
      <x:c r="B16" s="12" t="str">
        <x:v>10</x:v>
      </x:c>
      <x:c r="C16" s="12" t="str">
        <x:v>2012-07-04</x:v>
      </x:c>
      <x:c r="D16" s="12" t="str">
        <x:v>Gastro-entérite d'Alexia</x:v>
      </x:c>
      <x:c r="E16" s="12" t="str">
        <x:v>1</x:v>
      </x:c>
      <x:c r="F16" s="12" t="str">
        <x:v>Email:45</x:v>
      </x:c>
      <x:c r="G16" s="12" t="str">
        <x:v>principal</x:v>
      </x:c>
      <x:c r="H16" s="12" t="str">
        <x:v>20120704_L_T_ujourd_hui.eml</x:v>
      </x:c>
      <x:c r="I16" s="12" t="str">
        <x:v>15</x:v>
      </x:c>
      <x:c r="J16" s="12" t="str">
        <x:v>true</x:v>
      </x:c>
    </x:row>
    <x:row r="17">
      <x:c r="A17" s="12" t="str">
        <x:v>P-43.11</x:v>
      </x:c>
      <x:c r="B17" s="12" t="str">
        <x:v>11</x:v>
      </x:c>
      <x:c r="C17" s="12" t="str">
        <x:v>2012-09-10</x:v>
      </x:c>
      <x:c r="D17" s="12" t="str">
        <x:v>Journée auprès d'Alexia malade</x:v>
      </x:c>
      <x:c r="E17" s="12" t="str">
        <x:v>1</x:v>
      </x:c>
      <x:c r="F17" s="12" t="str">
        <x:v>Email:42</x:v>
      </x:c>
      <x:c r="G17" s="12" t="str">
        <x:v>principal</x:v>
      </x:c>
      <x:c r="H17" s="12" t="str">
        <x:v>20120910_L_K_absence_139af0fcae99cd29.eml</x:v>
      </x:c>
      <x:c r="I17" s="12" t="str">
        <x:v>15</x:v>
      </x:c>
      <x:c r="J17" s="12" t="str">
        <x:v>true</x:v>
      </x:c>
    </x:row>
    <x:row r="18">
      <x:c r="A18" s="12" t="str">
        <x:v>P-43.12</x:v>
      </x:c>
      <x:c r="B18" s="12" t="str">
        <x:v>12</x:v>
      </x:c>
      <x:c r="C18" s="12" t="str">
        <x:v>2013-06-03</x:v>
      </x:c>
      <x:c r="D18" s="12" t="str">
        <x:v>Aide auprès du bébé et de la conjointe</x:v>
      </x:c>
      <x:c r="E18" s="12" t="str">
        <x:v>1</x:v>
      </x:c>
      <x:c r="F18" s="12" t="str">
        <x:v>Email:40</x:v>
      </x:c>
      <x:c r="G18" s="12" t="str">
        <x:v>principal</x:v>
      </x:c>
      <x:c r="H18" s="12" t="str">
        <x:v>20130603_L_K_Congė_13f09664c5e017ad.eml</x:v>
      </x:c>
      <x:c r="I18" s="12" t="str">
        <x:v>156</x:v>
      </x:c>
      <x:c r="J18" s="12" t="str">
        <x:v>true</x:v>
      </x:c>
    </x:row>
    <x:row r="19">
      <x:c r="A19" s="12" t="str">
        <x:v>P-43.13</x:v>
      </x:c>
      <x:c r="B19" s="12" t="str">
        <x:v>13</x:v>
      </x:c>
      <x:c r="C19" s="12" t="str">
        <x:v>2014-05-05</x:v>
      </x:c>
      <x:c r="D19" s="12" t="str">
        <x:v>Consultation à la clinique avec Nicolas</x:v>
      </x:c>
      <x:c r="E19" s="12" t="str">
        <x:v>1</x:v>
      </x:c>
      <x:c r="F19" s="12" t="str">
        <x:v>Email:30</x:v>
      </x:c>
      <x:c r="G19" s="12" t="str">
        <x:v>principal</x:v>
      </x:c>
      <x:c r="H19" s="12" t="str">
        <x:v>20140505_L_K_journée_maladie_145cc3c1ab221409.eml</x:v>
      </x:c>
      <x:c r="I19" s="12" t="str">
        <x:v>156</x:v>
      </x:c>
      <x:c r="J19" s="12" t="str">
        <x:v>true</x:v>
      </x:c>
    </x:row>
    <x:row r="20">
      <x:c r="A20" s="12" t="str">
        <x:v>P-43.14</x:v>
      </x:c>
      <x:c r="B20" s="12" t="str">
        <x:v>14</x:v>
      </x:c>
      <x:c r="C20" s="12" t="str">
        <x:v>2014-12-16</x:v>
      </x:c>
      <x:c r="D20" s="12" t="str">
        <x:v>Absence et soins de Nicolas</x:v>
      </x:c>
      <x:c r="E20" s="12" t="str">
        <x:v>1</x:v>
      </x:c>
      <x:c r="F20" s="12" t="str">
        <x:v>Email:28</x:v>
      </x:c>
      <x:c r="G20" s="12" t="str">
        <x:v>principal</x:v>
      </x:c>
      <x:c r="H20" s="12" t="str">
        <x:v>20141216_L_K_N_A_14a5584c9cc54ea1.eml</x:v>
      </x:c>
      <x:c r="I20" s="12" t="str">
        <x:v>156</x:v>
      </x:c>
      <x:c r="J20" s="12" t="str">
        <x:v>true</x:v>
      </x:c>
    </x:row>
    <x:row r="21">
      <x:c r="A21" s="12" t="str">
        <x:v>P-43.15</x:v>
      </x:c>
      <x:c r="B21" s="12" t="str">
        <x:v>15</x:v>
      </x:c>
      <x:c r="C21" s="12" t="str">
        <x:v>2014-12-19</x:v>
      </x:c>
      <x:c r="D21" s="12" t="str">
        <x:v>Soins d'un enfant malade et relève de la défenderesse</x:v>
      </x:c>
      <x:c r="E21" s="12" t="str">
        <x:v>1</x:v>
      </x:c>
      <x:c r="F21" s="12" t="str">
        <x:v>Email:27</x:v>
      </x:c>
      <x:c r="G21" s="12" t="str">
        <x:v>principal</x:v>
      </x:c>
      <x:c r="H21" s="12" t="str">
        <x:v>20141219_L_K_vendredi_le_19_dec_14a642f2be09014f.eml</x:v>
      </x:c>
      <x:c r="I21" s="12" t="str">
        <x:v>156;159</x:v>
      </x:c>
      <x:c r="J21" s="12" t="str">
        <x:v>true</x:v>
      </x:c>
    </x:row>
    <x:row r="22">
      <x:c r="A22" s="14" t="str">
        <x:v>P-43.16</x:v>
      </x:c>
      <x:c r="B22" s="14" t="str">
        <x:v>16</x:v>
      </x:c>
      <x:c r="C22" s="14" t="str">
        <x:v>2015-08-03</x:v>
      </x:c>
      <x:c r="D22" s="14" t="str">
        <x:v>Journée auprès de Nicolas malade</x:v>
      </x:c>
      <x:c r="E22" s="14" t="str">
        <x:v>1</x:v>
      </x:c>
      <x:c r="F22" s="14" t="str">
        <x:v>Email:21</x:v>
      </x:c>
      <x:c r="G22" s="14" t="str">
        <x:v>principal</x:v>
      </x:c>
      <x:c r="H22" s="14" t="str">
        <x:v>20150803_L_K_N_A_14ef35bb2bb10fb3.eml</x:v>
      </x:c>
      <x:c r="I22" s="14" t="str">
        <x:v>156</x:v>
      </x:c>
      <x:c r="J22" s="14" t="str">
        <x:v>true</x:v>
      </x:c>
    </x:row>
  </x:sheetData>
  <x:mergeCells>
    <x:mergeCell ref="A1:J1"/>
  </x:mergeCells>
  <x:pageMargins left="0.7" right="0.7" top="0.75" bottom="0.75" header="0.3" footer="0.3"/>
  <x:tableParts count="1">
    <x:tablePart xmlns:r="http://schemas.openxmlformats.org/officeDocument/2006/relationships" r:id="R6b25a9a88ba44e6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58" hidden="0" customWidth="1"/>
    <x:col min="3" max="3" width="34" hidden="0" customWidth="1"/>
    <x:col min="4" max="4" width="18" hidden="0" customWidth="1"/>
    <x:col min="5" max="5" width="28" hidden="0" customWidth="1"/>
  </x:cols>
  <x:sheetData>
    <x:row r="1" ht="28" customHeight="1">
      <x:c r="A1" s="2" t="str">
        <x:v>Concordance P-43</x:v>
      </x:c>
      <x:c r="B1" s="2" t="str">
        <x:v>Concordance P-43</x:v>
      </x:c>
      <x:c r="C1" s="2" t="str">
        <x:v>Concordance P-43</x:v>
      </x:c>
      <x:c r="D1" s="2" t="str">
        <x:v>Concordance P-43</x:v>
      </x:c>
      <x:c r="E1" s="2" t="str">
        <x:v>Concordance P-43</x:v>
      </x:c>
    </x:row>
    <x:row r="3" ht="30" customHeight="1">
      <x:c r="A3" s="4" t="str">
        <x:v>paragraph</x:v>
      </x:c>
      <x:c r="B3" s="4" t="str">
        <x:v>proposition</x:v>
      </x:c>
      <x:c r="C3" s="4" t="str">
        <x:v>sub_cotes</x:v>
      </x:c>
      <x:c r="D3" s="4" t="str">
        <x:v>occurrence_count</x:v>
      </x:c>
      <x:c r="E3" s="4" t="str">
        <x:v>status</x:v>
      </x:c>
    </x:row>
    <x:row r="4">
      <x:c r="A4" s="10" t="str">
        <x:v>15</x:v>
      </x:c>
      <x:c r="B4" s="10" t="str">
        <x:v>Absences pour soins entre le 7 mars 2011 et le 10 septembre 2012</x:v>
      </x:c>
      <x:c r="C4" s="10" t="str">
        <x:v>P-43.1 à P-43.11</x:v>
      </x:c>
      <x:c r="D4" s="10" t="str">
        <x:v>11</x:v>
      </x:c>
      <x:c r="E4" s="10" t="str">
        <x:v>ready</x:v>
      </x:c>
    </x:row>
    <x:row r="5">
      <x:c r="A5" s="12" t="str">
        <x:v>17</x:v>
      </x:c>
      <x:c r="B5" s="12" t="str">
        <x:v>Rendez-vous pédiatrique pour les vaccins</x:v>
      </x:c>
      <x:c r="C5" s="12" t="str">
        <x:v>P-43.3</x:v>
      </x:c>
      <x:c r="D5" s="12" t="str">
        <x:v>1</x:v>
      </x:c>
      <x:c r="E5" s="12" t="str">
        <x:v>ready</x:v>
      </x:c>
    </x:row>
    <x:row r="6">
      <x:c r="A6" s="12" t="str">
        <x:v>18</x:v>
      </x:c>
      <x:c r="B6" s="12" t="str">
        <x:v>Journée auprès d'Alexia malade le 6 septembre 2011</x:v>
      </x:c>
      <x:c r="C6" s="12" t="str">
        <x:v>P-43.6</x:v>
      </x:c>
      <x:c r="D6" s="12" t="str">
        <x:v>1</x:v>
      </x:c>
      <x:c r="E6" s="12" t="str">
        <x:v>ready</x:v>
      </x:c>
    </x:row>
    <x:row r="7">
      <x:c r="A7" s="12" t="str">
        <x:v>19</x:v>
      </x:c>
      <x:c r="B7" s="12" t="str">
        <x:v>Ressource familiale indisponible le 16 décembre 2011</x:v>
      </x:c>
      <x:c r="C7" s="12" t="str">
        <x:v>P-43.8</x:v>
      </x:c>
      <x:c r="D7" s="12" t="str">
        <x:v>1</x:v>
      </x:c>
      <x:c r="E7" s="12" t="str">
        <x:v>ready</x:v>
      </x:c>
    </x:row>
    <x:row r="8">
      <x:c r="A8" s="12" t="str">
        <x:v>87</x:v>
      </x:c>
      <x:c r="B8" s="12" t="str">
        <x:v>Gardienne indisponible le 7 mars 2011</x:v>
      </x:c>
      <x:c r="C8" s="12" t="str">
        <x:v>P-43.1</x:v>
      </x:c>
      <x:c r="D8" s="12" t="str">
        <x:v>1</x:v>
      </x:c>
      <x:c r="E8" s="12" t="str">
        <x:v>ready</x:v>
      </x:c>
    </x:row>
    <x:row r="9">
      <x:c r="A9" s="12" t="str">
        <x:v>88</x:v>
      </x:c>
      <x:c r="B9" s="12" t="str">
        <x:v>Maladie et consultation médicale les 2 et 3 mai 2011</x:v>
      </x:c>
      <x:c r="C9" s="12" t="str">
        <x:v>P-43.2</x:v>
      </x:c>
      <x:c r="D9" s="12" t="str">
        <x:v>1</x:v>
      </x:c>
      <x:c r="E9" s="12" t="str">
        <x:v>ready</x:v>
      </x:c>
    </x:row>
    <x:row r="10">
      <x:c r="A10" s="12" t="str">
        <x:v>89</x:v>
      </x:c>
      <x:c r="B10" s="12" t="str">
        <x:v>Rendez-vous pédiatrique du 25 mai 2011</x:v>
      </x:c>
      <x:c r="C10" s="12" t="str">
        <x:v>P-43.3</x:v>
      </x:c>
      <x:c r="D10" s="12" t="str">
        <x:v>1</x:v>
      </x:c>
      <x:c r="E10" s="12" t="str">
        <x:v>ready</x:v>
      </x:c>
    </x:row>
    <x:row r="11">
      <x:c r="A11" s="12" t="str">
        <x:v>90</x:v>
      </x:c>
      <x:c r="B11" s="12" t="str">
        <x:v>Journée auprès d'Alexia le 6 juillet 2011</x:v>
      </x:c>
      <x:c r="C11" s="12" t="str">
        <x:v>P-43.4</x:v>
      </x:c>
      <x:c r="D11" s="12" t="str">
        <x:v>1</x:v>
      </x:c>
      <x:c r="E11" s="12" t="str">
        <x:v>ready</x:v>
      </x:c>
    </x:row>
    <x:row r="12">
      <x:c r="A12" s="12" t="str">
        <x:v>91</x:v>
      </x:c>
      <x:c r="B12" s="12" t="str">
        <x:v>Huit occurrences distinctes en 2011</x:v>
      </x:c>
      <x:c r="C12" s="12" t="str">
        <x:v>P-43.1 à P-43.8</x:v>
      </x:c>
      <x:c r="D12" s="12" t="str">
        <x:v>8</x:v>
      </x:c>
      <x:c r="E12" s="12" t="str">
        <x:v>ready_after_count_correction</x:v>
      </x:c>
    </x:row>
    <x:row r="13">
      <x:c r="A13" s="12" t="str">
        <x:v>156</x:v>
      </x:c>
      <x:c r="B13" s="12" t="str">
        <x:v>Interruptions ou modifications du travail pour soins de 2011 à 2015</x:v>
      </x:c>
      <x:c r="C13" s="12" t="str">
        <x:v>P-43.1 à P-43.16</x:v>
      </x:c>
      <x:c r="D13" s="12" t="str">
        <x:v>16</x:v>
      </x:c>
      <x:c r="E13" s="12" t="str">
        <x:v>ready</x:v>
      </x:c>
    </x:row>
    <x:row r="14">
      <x:c r="A14" s="12" t="str">
        <x:v>158</x:v>
      </x:c>
      <x:c r="B14" s="12" t="str">
        <x:v>Journée auprès d'Alexia le 6 juillet 2011</x:v>
      </x:c>
      <x:c r="C14" s="12" t="str">
        <x:v>P-43.4</x:v>
      </x:c>
      <x:c r="D14" s="12" t="str">
        <x:v>1</x:v>
      </x:c>
      <x:c r="E14" s="12" t="str">
        <x:v>ready</x:v>
      </x:c>
    </x:row>
    <x:row r="15">
      <x:c r="A15" s="14" t="str">
        <x:v>159</x:v>
      </x:c>
      <x:c r="B15" s="14" t="str">
        <x:v>Soins d'un enfant malade et relève le 19 décembre 2014</x:v>
      </x:c>
      <x:c r="C15" s="14" t="str">
        <x:v>P-43.15</x:v>
      </x:c>
      <x:c r="D15" s="14" t="str">
        <x:v>1</x:v>
      </x:c>
      <x:c r="E15" s="14" t="str">
        <x:v>ready</x:v>
      </x:c>
    </x:row>
  </x:sheetData>
  <x:mergeCells>
    <x:mergeCell ref="A1:E1"/>
  </x:mergeCells>
  <x:pageMargins left="0.7" right="0.7" top="0.75" bottom="0.75" header="0.3" footer="0.3"/>
  <x:tableParts count="1">
    <x:tablePart xmlns:r="http://schemas.openxmlformats.org/officeDocument/2006/relationships" r:id="R03b20b84e98c4601"/>
  </x:tableParts>
</x:worksheet>
</file>