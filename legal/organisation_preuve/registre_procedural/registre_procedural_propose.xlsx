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c98846734e44aa" /></Relationships>
</file>

<file path=xl/workbook.xml><?xml version="1.0" encoding="utf-8"?>
<x:workbook xmlns:x="http://schemas.openxmlformats.org/spreadsheetml/2006/main">
  <x:sheets>
    <x:sheet xmlns:r="http://schemas.openxmlformats.org/officeDocument/2006/relationships" name="Sommaire" sheetId="1" r:id="Rb543314b9d7243fa"/>
    <x:sheet xmlns:r="http://schemas.openxmlformats.org/officeDocument/2006/relationships" name="Registre proposé" sheetId="2" r:id="Rf5349bdbb7024668"/>
    <x:sheet xmlns:r="http://schemas.openxmlformats.org/officeDocument/2006/relationships" name="Composantes" sheetId="3" r:id="R5348f17565e6495d"/>
    <x:sheet xmlns:r="http://schemas.openxmlformats.org/officeDocument/2006/relationships" name="Conflits" sheetId="4" r:id="Re214d1e00929432c"/>
    <x:sheet xmlns:r="http://schemas.openxmlformats.org/officeDocument/2006/relationships" name="Alias historiques" sheetId="5" r:id="R1dd530d7f1b54bcf"/>
    <x:sheet xmlns:r="http://schemas.openxmlformats.org/officeDocument/2006/relationships" name="Plages collectives" sheetId="6" r:id="R986bef2e5b704837"/>
    <x:sheet xmlns:r="http://schemas.openxmlformats.org/officeDocument/2006/relationships" name="Placeholders demande" sheetId="7" r:id="R2891390a49d4450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4">
    <x:font>
      <x:sz val="11"/>
      <x:name val="Carlito"/>
    </x:font>
    <x:font>
      <x:b/>
      <x:sz val="16"/>
      <x:color rgb="FFFFFFFF"/>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7365D"/>
      </x:patternFill>
    </x:fill>
    <x:fill>
      <x:patternFill patternType="solid">
        <x:fgColor rgb="FFF4F7FA"/>
      </x:patternFill>
    </x:fill>
  </x:fills>
  <x:borders count="4">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1"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cellXfs>
  <x:cellStyles count="1">
    <x:cellStyle name="Normal" xfId="0"/>
  </x:cellStyles>
  <x:dxfs count="5">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FCE4D6"/>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a2eda15f16481c" /><Relationship Type="http://schemas.openxmlformats.org/officeDocument/2006/relationships/theme" Target="/xl/theme/theme1.xml" Id="Ra6bbaaecdac54757" /><Relationship Type="http://schemas.microsoft.com/office/2022/11/relationships/FeaturePropertyBag" Target="/xl/featurePropertyBag/featurePropertyBag.xml" Id="R2268c8f47c4942cd" /><Relationship Type="http://schemas.openxmlformats.org/officeDocument/2006/relationships/sharedStrings" Target="/xl/sharedStrings.xml" Id="R8183c40f7ec34156" /><Relationship Type="http://schemas.openxmlformats.org/officeDocument/2006/relationships/worksheet" Target="/xl/worksheets/sheet1.xml" Id="Rb543314b9d7243fa" /><Relationship Type="http://schemas.openxmlformats.org/officeDocument/2006/relationships/worksheet" Target="/xl/worksheets/sheet2.xml" Id="Rf5349bdbb7024668" /><Relationship Type="http://schemas.openxmlformats.org/officeDocument/2006/relationships/worksheet" Target="/xl/worksheets/sheet3.xml" Id="R5348f17565e6495d" /><Relationship Type="http://schemas.openxmlformats.org/officeDocument/2006/relationships/worksheet" Target="/xl/worksheets/sheet4.xml" Id="Re214d1e00929432c" /><Relationship Type="http://schemas.openxmlformats.org/officeDocument/2006/relationships/worksheet" Target="/xl/worksheets/sheet5.xml" Id="R1dd530d7f1b54bcf" /><Relationship Type="http://schemas.openxmlformats.org/officeDocument/2006/relationships/worksheet" Target="/xl/worksheets/sheet6.xml" Id="R986bef2e5b704837" /><Relationship Type="http://schemas.openxmlformats.org/officeDocument/2006/relationships/worksheet" Target="/xl/worksheets/sheet7.xml" Id="R2891390a49d4450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gistrePropose" displayName="RegistrePropose" ref="A3:K45" headerRowCount="1" totalsRowCount="0" totalsRowShown="0">
  <x:tableColumns count="11">
    <x:tableColumn id="1" name="Cote proposée"/>
    <x:tableColumn id="2" name="Date"/>
    <x:tableColumn id="3" name="Description"/>
    <x:tableColumn id="4" name="Référence d’appui"/>
    <x:tableColumn id="5" name="Source base"/>
    <x:tableColumn id="6" name="État"/>
    <x:tableColumn id="7" name="Composantes"/>
    <x:tableColumn id="8" name="Clés canoniques"/>
    <x:tableColumn id="9" name="Non résolues"/>
    <x:tableColumn id="10" name="Liasse"/>
    <x:tableColumn id="11" name="Ligne bordereau"/>
  </x:tableColumns>
  <x:tableStyleInfo name="TableStyleMedium2" showFirstColumn="0" showLastColumn="0" showRowStripes="1" showColumnStripes="0"/>
</x:table>
</file>

<file path=xl/tables/table2.xml><?xml version="1.0" encoding="utf-8"?>
<x:table xmlns:x="http://schemas.openxmlformats.org/spreadsheetml/2006/main" id="2" name="ComposantesCotes" displayName="ComposantesCotes" ref="A3:J69" headerRowCount="1" totalsRowCount="0" totalsRowShown="0">
  <x:tableColumns count="10">
    <x:tableColumn id="1" name="Cote"/>
    <x:tableColumn id="2" name="Ordre"/>
    <x:tableColumn id="3" name="Clé canonique"/>
    <x:tableColumn id="4" name="Modèle"/>
    <x:tableColumn id="5" name="PK"/>
    <x:tableColumn id="6" name="État Django"/>
    <x:tableColumn id="7" name="État original"/>
    <x:tableColumn id="8" name="Date objet"/>
    <x:tableColumn id="9" name="Titre"/>
    <x:tableColumn id="10" name="Référence d’appui"/>
  </x:tableColumns>
  <x:tableStyleInfo name="TableStyleMedium2" showFirstColumn="0" showLastColumn="0" showRowStripes="1" showColumnStripes="0"/>
</x:table>
</file>

<file path=xl/tables/table3.xml><?xml version="1.0" encoding="utf-8"?>
<x:table xmlns:x="http://schemas.openxmlformats.org/spreadsheetml/2006/main" id="3" name="AliasHistoriques" displayName="AliasHistoriques" ref="A3:E74" headerRowCount="1" totalsRowCount="0" totalsRowShown="0">
  <x:tableColumns count="5">
    <x:tableColumn id="1" name="Alias historique"/>
    <x:tableColumn id="2" name="État"/>
    <x:tableColumn id="3" name="Candidats"/>
    <x:tableColumn id="4" name="Candidats canoniques"/>
    <x:tableColumn id="5" name="Sources"/>
  </x:tableColumns>
  <x:tableStyleInfo name="TableStyleMedium2" showFirstColumn="0" showLastColumn="0" showRowStripes="1" showColumnStripes="0"/>
</x:table>
</file>

<file path=xl/tables/table4.xml><?xml version="1.0" encoding="utf-8"?>
<x:table xmlns:x="http://schemas.openxmlformats.org/spreadsheetml/2006/main" id="4" name="PlagesCollectives" displayName="PlagesCollectives" ref="A3:G180" headerRowCount="1" totalsRowCount="0" totalsRowShown="0">
  <x:tableColumns count="7">
    <x:tableColumn id="1" name="Référence collective"/>
    <x:tableColumn id="2" name="Modèle"/>
    <x:tableColumn id="3" name="PK proposé"/>
    <x:tableColumn id="4" name="Clé canonique"/>
    <x:tableColumn id="5" name="État Django"/>
    <x:tableColumn id="6" name="État expansion"/>
    <x:tableColumn id="7" name="Fichiers sources"/>
  </x:tableColumns>
  <x:tableStyleInfo name="TableStyleMedium2" showFirstColumn="0" showLastColumn="0" showRowStripes="1" showColumnStripes="0"/>
</x:table>
</file>

<file path=xl/tables/table5.xml><?xml version="1.0" encoding="utf-8"?>
<x:table xmlns:x="http://schemas.openxmlformats.org/spreadsheetml/2006/main" id="5" name="PlaceholdersDemande" displayName="PlaceholdersDemande" ref="A3:I148" headerRowCount="1" totalsRowCount="0" totalsRowShown="0">
  <x:tableColumns count="9">
    <x:tableColumn id="1" name="Ligne"/>
    <x:tableColumn id="2" name="Paragraphe"/>
    <x:tableColumn id="3" name="Section"/>
    <x:tableColumn id="4" name="Placeholder"/>
    <x:tableColumn id="5" name="Occurrence"/>
    <x:tableColumn id="6" name="État"/>
    <x:tableColumn id="7" name="Cote proposée"/>
    <x:tableColumn id="8" name="Fondement"/>
    <x:tableColumn id="9" name="Contex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2394c128eb423a" /></Relationships>
</file>

<file path=xl/worksheets/_rels/sheet3.xml.rels>&#65279;<?xml version="1.0" encoding="utf-8"?><Relationships xmlns="http://schemas.openxmlformats.org/package/2006/relationships"><Relationship Type="http://schemas.openxmlformats.org/officeDocument/2006/relationships/table" Target="/xl/tables/table2.xml" Id="Re29cd025bea14f98" /></Relationships>
</file>

<file path=xl/worksheets/_rels/sheet5.xml.rels>&#65279;<?xml version="1.0" encoding="utf-8"?><Relationships xmlns="http://schemas.openxmlformats.org/package/2006/relationships"><Relationship Type="http://schemas.openxmlformats.org/officeDocument/2006/relationships/table" Target="/xl/tables/table3.xml" Id="R1b78f6d61b884062" /></Relationships>
</file>

<file path=xl/worksheets/_rels/sheet6.xml.rels>&#65279;<?xml version="1.0" encoding="utf-8"?><Relationships xmlns="http://schemas.openxmlformats.org/package/2006/relationships"><Relationship Type="http://schemas.openxmlformats.org/officeDocument/2006/relationships/table" Target="/xl/tables/table4.xml" Id="R91cad30a6fb2447c" /></Relationships>
</file>

<file path=xl/worksheets/_rels/sheet7.xml.rels>&#65279;<?xml version="1.0" encoding="utf-8"?><Relationships xmlns="http://schemas.openxmlformats.org/package/2006/relationships"><Relationship Type="http://schemas.openxmlformats.org/officeDocument/2006/relationships/table" Target="/xl/tables/table5.xml" Id="Rdf158555758f44a0"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4" max="4" width="28" hidden="0" customWidth="1"/>
    <x:col min="5" max="5" width="14" hidden="0" customWidth="1"/>
    <x:col min="6" max="6" width="42" hidden="0" customWidth="1"/>
    <x:col min="7" max="7" width="42" hidden="0" customWidth="1"/>
    <x:col min="8" max="8" width="16" hidden="0" customWidth="1"/>
  </x:cols>
  <x:sheetData>
    <x:row r="1" ht="28" customHeight="1">
      <x:c r="A1" s="2" t="str">
        <x:v>Registre procédural proposé — coordination de la preuve</x:v>
      </x:c>
      <x:c r="B1" s="2" t="str">
        <x:v>Registre procédural proposé — coordination de la preuve</x:v>
      </x:c>
      <x:c r="C1" s="2" t="str">
        <x:v>Registre procédural proposé — coordination de la preuve</x:v>
      </x:c>
      <x:c r="D1" s="2" t="str">
        <x:v>Registre procédural proposé — coordination de la preuve</x:v>
      </x:c>
      <x:c r="E1" s="2" t="str">
        <x:v>Registre procédural proposé — coordination de la preuve</x:v>
      </x:c>
      <x:c r="F1" s="2" t="str">
        <x:v>Registre procédural proposé — coordination de la preuve</x:v>
      </x:c>
      <x:c r="G1" s="2" t="str">
        <x:v>Registre procédural proposé — coordination de la preuve</x:v>
      </x:c>
      <x:c r="H1" s="2" t="str">
        <x:v>Registre procédural proposé — coordination de la preuve</x:v>
      </x:c>
    </x:row>
    <x:row r="3" ht="30" customHeight="1">
      <x:c r="A3" s="4" t="str">
        <x:v>Indicateur</x:v>
      </x:c>
      <x:c r="B3" s="4" t="str">
        <x:v>Valeur</x:v>
      </x:c>
      <x:c r="D3" s="4" t="str">
        <x:v>Verrou</x:v>
      </x:c>
      <x:c r="E3" s="4" t="str">
        <x:v>Valeur</x:v>
      </x:c>
      <x:c r="F3" s="4" t="str">
        <x:v>Interprétation</x:v>
      </x:c>
      <x:c r="G3" s="4" t="str">
        <x:v>Action</x:v>
      </x:c>
      <x:c r="H3" s="4" t="str">
        <x:v>Statut</x:v>
      </x:c>
    </x:row>
    <x:row r="4">
      <x:c r="A4" s="20" t="str">
        <x:v>Cotes proposées</x:v>
      </x:c>
      <x:c r="B4" t="n">
        <x:f>COUNTA('Registre proposé'!$A$4:$A$45)</x:f>
        <x:v>42</x:v>
      </x:c>
      <x:c r="D4" t="str">
        <x:v>Cotes du bordereau</x:v>
      </x:c>
      <x:c r="E4" t="n">
        <x:v>42</x:v>
      </x:c>
      <x:c r="F4" t="str">
        <x:v>Toutes résolues vers Django</x:v>
      </x:c>
      <x:c r="G4" t="str">
        <x:v>Réviser avant gel</x:v>
      </x:c>
      <x:c r="H4" t="str">
        <x:v>proposé</x:v>
      </x:c>
    </x:row>
    <x:row r="5">
      <x:c r="A5" s="20" t="str">
        <x:v>Cotes résolues</x:v>
      </x:c>
      <x:c r="B5" t="n">
        <x:f>COUNTIF('Registre proposé'!$F$4:$F$45,"resolved")</x:f>
        <x:v>42</x:v>
      </x:c>
      <x:c r="D5" t="str">
        <x:v>Conflit de duplication</x:v>
      </x:c>
      <x:c r="E5" t="n">
        <x:v>0</x:v>
      </x:c>
      <x:c r="F5" t="str">
        <x:v>Aucun tuple sous plusieurs cotes</x:v>
      </x:c>
      <x:c r="G5" t="str">
        <x:v>Maintenir une seule cote par source</x:v>
      </x:c>
      <x:c r="H5" t="str">
        <x:v>résolu</x:v>
      </x:c>
    </x:row>
    <x:row r="6">
      <x:c r="A6" s="20" t="str">
        <x:v>Liasses</x:v>
      </x:c>
      <x:c r="B6" t="n">
        <x:f>COUNTIF('Registre proposé'!$G$4:$G$45,"&gt;1")</x:f>
        <x:v>4</x:v>
      </x:c>
      <x:c r="D6" t="str">
        <x:v>DA-2019</x:v>
      </x:c>
      <x:c r="E6" t="n">
        <x:v>0</x:v>
      </x:c>
      <x:c r="F6" t="str">
        <x:v>Document:3 coté P-42</x:v>
      </x:c>
      <x:c r="G6" t="str">
        <x:v>Correspondance intégrée</x:v>
      </x:c>
      <x:c r="H6" t="str">
        <x:v>résolu</x:v>
      </x:c>
    </x:row>
    <x:row r="7">
      <x:c r="A7" s="20" t="str">
        <x:v>Composantes</x:v>
      </x:c>
      <x:c r="B7" t="n">
        <x:f>COUNTA('Composantes'!$A$4:$A$69)</x:f>
        <x:v>66</x:v>
      </x:c>
      <x:c r="D7" t="str">
        <x:v>Départ 23 février</x:v>
      </x:c>
      <x:c r="E7" t="n">
        <x:v>0</x:v>
      </x:c>
      <x:c r="F7" t="str">
        <x:v>PDFDocument:3 déjà coté P-9</x:v>
      </x:c>
      <x:c r="G7" t="str">
        <x:v>Correspondance intégrée</x:v>
      </x:c>
      <x:c r="H7" t="str">
        <x:v>résolu</x:v>
      </x:c>
    </x:row>
    <x:row r="8">
      <x:c r="A8" s="20" t="str">
        <x:v>Conflits tuple/cotes</x:v>
      </x:c>
      <x:c r="B8" t="n">
        <x:f>COUNTA('Conflits'!$A$4:$A$4)</x:f>
        <x:v>0</x:v>
      </x:c>
      <x:c r="D8" t="str">
        <x:v>Plages collectives</x:v>
      </x:c>
      <x:c r="E8" t="n">
        <x:v>177</x:v>
      </x:c>
      <x:c r="F8" t="str">
        <x:v>Développements proposés seulement</x:v>
      </x:c>
      <x:c r="G8" t="str">
        <x:v>Valider les séries avant inclusion</x:v>
      </x:c>
      <x:c r="H8" t="str">
        <x:v>révision</x:v>
      </x:c>
    </x:row>
    <x:row r="9">
      <x:c r="A9" s="20" t="str">
        <x:v>Alias historiques</x:v>
      </x:c>
      <x:c r="B9" t="n">
        <x:f>COUNTA('Alias historiques'!$A$4:$A$74)</x:f>
        <x:v>71</x:v>
      </x:c>
    </x:row>
    <x:row r="10">
      <x:c r="A10" s="20" t="str">
        <x:v>Alias historiques résolus</x:v>
      </x:c>
      <x:c r="B10" t="n">
        <x:f>COUNTIF('Alias historiques'!$B$4:$B$74,"resolved")</x:f>
        <x:v>28</x:v>
      </x:c>
    </x:row>
    <x:row r="11">
      <x:c r="A11" s="20" t="str">
        <x:v>Placeholders</x:v>
      </x:c>
      <x:c r="B11" t="n">
        <x:f>COUNTA('Placeholders demande'!$A$4:$A$148)</x:f>
        <x:v>145</x:v>
      </x:c>
    </x:row>
    <x:row r="12">
      <x:c r="A12" s="20" t="str">
        <x:v>Placeholders fortement proposés</x:v>
      </x:c>
      <x:c r="B12" t="n">
        <x:f>COUNTIF('Placeholders demande'!$F$4:$F$148,"proposed_strong")</x:f>
        <x:v>23</x:v>
      </x:c>
    </x:row>
    <x:row r="13">
      <x:c r="A13" s="20" t="str">
        <x:v>Placeholders nécessitant contexte</x:v>
      </x:c>
      <x:c r="B13" t="n">
        <x:f>COUNTIF('Placeholders demande'!$F$4:$F$148,"context_required")</x:f>
        <x:v>122</x:v>
      </x:c>
    </x:row>
    <x:row r="14">
      <x:c r="A14" s="20" t="str">
        <x:v>Occurrences DA-2019 sans cote</x:v>
      </x:c>
      <x:c r="B14" t="n">
        <x:f>COUNTIF('Placeholders demande'!$F$4:$F$148,"missing_from_bordereau")</x:f>
        <x:v>0</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48" hidden="0" customWidth="1"/>
    <x:col min="4" max="4" width="48" hidden="0" customWidth="1"/>
    <x:col min="5" max="5" width="22" hidden="0" customWidth="1"/>
    <x:col min="6" max="6" width="16" hidden="0" customWidth="1"/>
    <x:col min="7" max="7" width="13" hidden="0" customWidth="1"/>
    <x:col min="8" max="8" width="62" hidden="0" customWidth="1"/>
    <x:col min="9" max="9" width="35" hidden="0" customWidth="1"/>
    <x:col min="10" max="10" width="10" hidden="0" customWidth="1"/>
    <x:col min="11" max="11" width="14" hidden="0" customWidth="1"/>
  </x:cols>
  <x:sheetData>
    <x:row r="1" ht="28" customHeight="1">
      <x:c r="A1" s="2" t="str">
        <x:v>Registre proposé</x:v>
      </x:c>
      <x:c r="B1" s="2" t="str">
        <x:v>Registre proposé</x:v>
      </x:c>
      <x:c r="C1" s="2" t="str">
        <x:v>Registre proposé</x:v>
      </x:c>
      <x:c r="D1" s="2" t="str">
        <x:v>Registre proposé</x:v>
      </x:c>
      <x:c r="E1" s="2" t="str">
        <x:v>Registre proposé</x:v>
      </x:c>
      <x:c r="F1" s="2" t="str">
        <x:v>Registre proposé</x:v>
      </x:c>
      <x:c r="G1" s="2" t="str">
        <x:v>Registre proposé</x:v>
      </x:c>
      <x:c r="H1" s="2" t="str">
        <x:v>Registre proposé</x:v>
      </x:c>
      <x:c r="I1" s="2" t="str">
        <x:v>Registre proposé</x:v>
      </x:c>
      <x:c r="J1" s="2" t="str">
        <x:v>Registre proposé</x:v>
      </x:c>
      <x:c r="K1" s="2" t="str">
        <x:v>Registre proposé</x:v>
      </x:c>
    </x:row>
    <x:row r="3" ht="30" customHeight="1">
      <x:c r="A3" s="4" t="str">
        <x:v>Cote proposée</x:v>
      </x:c>
      <x:c r="B3" s="4" t="str">
        <x:v>Date</x:v>
      </x:c>
      <x:c r="C3" s="4" t="str">
        <x:v>Description</x:v>
      </x:c>
      <x:c r="D3" s="4" t="str">
        <x:v>Référence d’appui</x:v>
      </x:c>
      <x:c r="E3" s="4" t="str">
        <x:v>Source base</x:v>
      </x:c>
      <x:c r="F3" s="4" t="str">
        <x:v>État</x:v>
      </x:c>
      <x:c r="G3" s="4" t="str">
        <x:v>Composantes</x:v>
      </x:c>
      <x:c r="H3" s="4" t="str">
        <x:v>Clés canoniques</x:v>
      </x:c>
      <x:c r="I3" s="4" t="str">
        <x:v>Non résolues</x:v>
      </x:c>
      <x:c r="J3" s="4" t="str">
        <x:v>Liasse</x:v>
      </x:c>
      <x:c r="K3" s="4" t="str">
        <x:v>Ligne bordereau</x:v>
      </x:c>
    </x:row>
    <x:row r="4">
      <x:c r="A4" s="10" t="str">
        <x:v>P-1</x:v>
      </x:c>
      <x:c r="B4" s="10" t="str">
        <x:v>2009</x:v>
      </x:c>
      <x:c r="C4" s="10" t="str">
        <x:v>Dossier RQAP du demandeur (naissance d'Alexia)</x:v>
      </x:c>
      <x:c r="D4" s="10" t="str">
        <x:v>piece_photo-4558</x:v>
      </x:c>
      <x:c r="E4" s="10" t="str">
        <x:v>photo</x:v>
      </x:c>
      <x:c r="F4" s="10" t="str">
        <x:v>resolved</x:v>
      </x:c>
      <x:c r="G4" s="10" t="n">
        <x:v>1</x:v>
      </x:c>
      <x:c r="H4" s="10" t="str">
        <x:v>Photo:4558</x:v>
      </x:c>
      <x:c r="I4" s="10" t="str"/>
      <x:c r="J4" s="11" t="b">
        <x:v>0</x:v>
      </x:c>
      <x:c r="K4" s="10" t="n">
        <x:v>9</x:v>
      </x:c>
    </x:row>
    <x:row r="5">
      <x:c r="A5" s="12" t="str">
        <x:v>P-2</x:v>
      </x:c>
      <x:c r="B5" s="12" t="str">
        <x:v>11 juin 2013</x:v>
      </x:c>
      <x:c r="C5" s="12" t="str">
        <x:v>Courriel Me Ayoub → Élise (le « plan »)</x:v>
      </x:c>
      <x:c r="D5" s="12" t="str">
        <x:v>piece_pdf-1</x:v>
      </x:c>
      <x:c r="E5" s="12" t="str">
        <x:v>pdf-1</x:v>
      </x:c>
      <x:c r="F5" s="12" t="str">
        <x:v>resolved</x:v>
      </x:c>
      <x:c r="G5" s="12" t="n">
        <x:v>1</x:v>
      </x:c>
      <x:c r="H5" s="12" t="str">
        <x:v>PDFDocument:1</x:v>
      </x:c>
      <x:c r="I5" s="12" t="str"/>
      <x:c r="J5" s="13" t="b">
        <x:v>0</x:v>
      </x:c>
      <x:c r="K5" s="12" t="n">
        <x:v>10</x:v>
      </x:c>
    </x:row>
    <x:row r="6">
      <x:c r="A6" s="12" t="str">
        <x:v>P-3</x:v>
      </x:c>
      <x:c r="B6" s="12" t="str">
        <x:v>26 juin 2013</x:v>
      </x:c>
      <x:c r="C6" s="12" t="str">
        <x:v>Courriel LP → Me Suzanne Pringle</x:v>
      </x:c>
      <x:c r="D6" s="12" t="str">
        <x:v>piece_thread-89_email-365</x:v>
      </x:c>
      <x:c r="E6" s="12" t="str">
        <x:v>email-365</x:v>
      </x:c>
      <x:c r="F6" s="12" t="str">
        <x:v>resolved</x:v>
      </x:c>
      <x:c r="G6" s="12" t="n">
        <x:v>1</x:v>
      </x:c>
      <x:c r="H6" s="12" t="str">
        <x:v>Email:365</x:v>
      </x:c>
      <x:c r="I6" s="12" t="str"/>
      <x:c r="J6" s="13" t="b">
        <x:v>0</x:v>
      </x:c>
      <x:c r="K6" s="12" t="n">
        <x:v>11</x:v>
      </x:c>
    </x:row>
    <x:row r="7">
      <x:c r="A7" s="12" t="str">
        <x:v>P-4</x:v>
      </x:c>
      <x:c r="B7" s="12" t="str">
        <x:v>30 juin 2013</x:v>
      </x:c>
      <x:c r="C7" s="12" t="str">
        <x:v>Échange « chalet » LP ↔ Élise</x:v>
      </x:c>
      <x:c r="D7" s="12" t="str">
        <x:v>piece_thread-109</x:v>
      </x:c>
      <x:c r="E7" s="12" t="str">
        <x:v>thread-109</x:v>
      </x:c>
      <x:c r="F7" s="12" t="str">
        <x:v>resolved</x:v>
      </x:c>
      <x:c r="G7" s="12" t="n">
        <x:v>1</x:v>
      </x:c>
      <x:c r="H7" s="12" t="str">
        <x:v>EmailThread:109</x:v>
      </x:c>
      <x:c r="I7" s="12" t="str"/>
      <x:c r="J7" s="13" t="b">
        <x:v>0</x:v>
      </x:c>
      <x:c r="K7" s="12" t="n">
        <x:v>12</x:v>
      </x:c>
    </x:row>
    <x:row r="8">
      <x:c r="A8" s="12" t="str">
        <x:v>P-5</x:v>
      </x:c>
      <x:c r="B8" s="12" t="str">
        <x:v>16 juin–16 août 2013</x:v>
      </x:c>
      <x:c r="C8" s="12" t="str">
        <x:v>Cape Cod 2013 — sans Alexia les 16–17 juin; avec Alexia et Nicolas du 11 au 16 août</x:v>
      </x:c>
      <x:c r="D8" s="12" t="str">
        <x:v>Events id=242, 243, 257, 258, 259, 260</x:v>
      </x:c>
      <x:c r="E8" s="12" t="str">
        <x:v>events-242/243/257/258/259/260 (liasse)</x:v>
      </x:c>
      <x:c r="F8" s="12" t="str">
        <x:v>resolved</x:v>
      </x:c>
      <x:c r="G8" s="12" t="n">
        <x:v>6</x:v>
      </x:c>
      <x:c r="H8" s="12" t="str">
        <x:v>Event:242 | Event:243 | Event:257 | Event:258 | Event:259 | Event:260</x:v>
      </x:c>
      <x:c r="I8" s="12" t="str"/>
      <x:c r="J8" s="13" t="b">
        <x:v>1</x:v>
      </x:c>
      <x:c r="K8" s="12" t="n">
        <x:v>13</x:v>
      </x:c>
    </x:row>
    <x:row r="9">
      <x:c r="A9" s="12" t="str">
        <x:v>P-6</x:v>
      </x:c>
      <x:c r="B9" s="12" t="str">
        <x:v>27 févr. 2015</x:v>
      </x:c>
      <x:c r="C9" s="12" t="str">
        <x:v>Courriel LP → Élise (réf. au plan)</x:v>
      </x:c>
      <x:c r="D9" s="12" t="str">
        <x:v>piece_thread-18_email-163</x:v>
      </x:c>
      <x:c r="E9" s="12" t="str">
        <x:v>email-163</x:v>
      </x:c>
      <x:c r="F9" s="12" t="str">
        <x:v>resolved</x:v>
      </x:c>
      <x:c r="G9" s="12" t="n">
        <x:v>1</x:v>
      </x:c>
      <x:c r="H9" s="12" t="str">
        <x:v>Email:163</x:v>
      </x:c>
      <x:c r="I9" s="12" t="str"/>
      <x:c r="J9" s="13" t="b">
        <x:v>0</x:v>
      </x:c>
      <x:c r="K9" s="12" t="n">
        <x:v>14</x:v>
      </x:c>
    </x:row>
    <x:row r="10">
      <x:c r="A10" s="12" t="str">
        <x:v>P-7</x:v>
      </x:c>
      <x:c r="B10" s="12" t="str">
        <x:v>4 mars 2015</x:v>
      </x:c>
      <x:c r="C10" s="12" t="str">
        <x:v>Première offre de garde partagée (ébauche Poirier)</x:v>
      </x:c>
      <x:c r="D10" s="12" t="str">
        <x:v>piece_pdf-2</x:v>
      </x:c>
      <x:c r="E10" s="12" t="str">
        <x:v>pdf-2</x:v>
      </x:c>
      <x:c r="F10" s="12" t="str">
        <x:v>resolved</x:v>
      </x:c>
      <x:c r="G10" s="12" t="n">
        <x:v>1</x:v>
      </x:c>
      <x:c r="H10" s="12" t="str">
        <x:v>PDFDocument:2</x:v>
      </x:c>
      <x:c r="I10" s="12" t="str"/>
      <x:c r="J10" s="13" t="b">
        <x:v>0</x:v>
      </x:c>
      <x:c r="K10" s="12" t="n">
        <x:v>15</x:v>
      </x:c>
    </x:row>
    <x:row r="11">
      <x:c r="A11" s="12" t="str">
        <x:v>P-8</x:v>
      </x:c>
      <x:c r="B11" s="12" t="str">
        <x:v>7 avril 2015</x:v>
      </x:c>
      <x:c r="C11" s="12" t="str">
        <x:v>iMessages du demandeur (transférés le 21 avril)</x:v>
      </x:c>
      <x:c r="D11" s="12" t="str">
        <x:v>piece_p2_messages_7avril2015</x:v>
      </x:c>
      <x:c r="E11" s="12" t="str">
        <x:v>photo (P-2 Requête)</x:v>
      </x:c>
      <x:c r="F11" s="12" t="str">
        <x:v>resolved</x:v>
      </x:c>
      <x:c r="G11" s="12" t="n">
        <x:v>1</x:v>
      </x:c>
      <x:c r="H11" s="12" t="str">
        <x:v>Photo:4526</x:v>
      </x:c>
      <x:c r="I11" s="12" t="str"/>
      <x:c r="J11" s="13" t="b">
        <x:v>0</x:v>
      </x:c>
      <x:c r="K11" s="12" t="n">
        <x:v>16</x:v>
      </x:c>
    </x:row>
    <x:row r="12">
      <x:c r="A12" s="12" t="str">
        <x:v>P-9</x:v>
      </x:c>
      <x:c r="B12" s="12" t="str">
        <x:v>27 avril 2015</x:v>
      </x:c>
      <x:c r="C12" s="12" t="str">
        <x:v>Lettre Me Ayoub → Me Poirier</x:v>
      </x:c>
      <x:c r="D12" s="12" t="str">
        <x:v>piece_pdf-3</x:v>
      </x:c>
      <x:c r="E12" s="12" t="str">
        <x:v>pdf-3</x:v>
      </x:c>
      <x:c r="F12" s="12" t="str">
        <x:v>resolved</x:v>
      </x:c>
      <x:c r="G12" s="12" t="n">
        <x:v>1</x:v>
      </x:c>
      <x:c r="H12" s="12" t="str">
        <x:v>PDFDocument:3</x:v>
      </x:c>
      <x:c r="I12" s="12" t="str"/>
      <x:c r="J12" s="13" t="b">
        <x:v>0</x:v>
      </x:c>
      <x:c r="K12" s="12" t="n">
        <x:v>17</x:v>
      </x:c>
    </x:row>
    <x:row r="13">
      <x:c r="A13" s="12" t="str">
        <x:v>P-10</x:v>
      </x:c>
      <x:c r="B13" s="12" t="str">
        <x:v>27 avril 2015</x:v>
      </x:c>
      <x:c r="C13" s="12" t="str">
        <x:v>Réponse LP → Me Poirier</x:v>
      </x:c>
      <x:c r="D13" s="12" t="str">
        <x:v>piece_thread-100_email-399</x:v>
      </x:c>
      <x:c r="E13" s="12" t="str">
        <x:v>email-399</x:v>
      </x:c>
      <x:c r="F13" s="12" t="str">
        <x:v>resolved</x:v>
      </x:c>
      <x:c r="G13" s="12" t="n">
        <x:v>1</x:v>
      </x:c>
      <x:c r="H13" s="12" t="str">
        <x:v>Email:399</x:v>
      </x:c>
      <x:c r="I13" s="12" t="str"/>
      <x:c r="J13" s="13" t="b">
        <x:v>0</x:v>
      </x:c>
      <x:c r="K13" s="12" t="n">
        <x:v>18</x:v>
      </x:c>
    </x:row>
    <x:row r="14">
      <x:c r="A14" s="12" t="str">
        <x:v>P-11</x:v>
      </x:c>
      <x:c r="B14" s="12" t="str">
        <x:v>19 juil. 2015</x:v>
      </x:c>
      <x:c r="C14" s="12" t="str">
        <x:v>Courriel LP → J. Bazinet (baptême de Nicolas)</x:v>
      </x:c>
      <x:c r="D14" s="12" t="str">
        <x:v>piece_thread-76_email-343</x:v>
      </x:c>
      <x:c r="E14" s="12" t="str">
        <x:v>email-343</x:v>
      </x:c>
      <x:c r="F14" s="12" t="str">
        <x:v>resolved</x:v>
      </x:c>
      <x:c r="G14" s="12" t="n">
        <x:v>1</x:v>
      </x:c>
      <x:c r="H14" s="12" t="str">
        <x:v>Email:343</x:v>
      </x:c>
      <x:c r="I14" s="12" t="str"/>
      <x:c r="J14" s="13" t="b">
        <x:v>0</x:v>
      </x:c>
      <x:c r="K14" s="12" t="n">
        <x:v>19</x:v>
      </x:c>
    </x:row>
    <x:row r="15">
      <x:c r="A15" s="12" t="str">
        <x:v>P-12</x:v>
      </x:c>
      <x:c r="B15" s="12" t="str">
        <x:v>19 juil. 2015</x:v>
      </x:c>
      <x:c r="C15" s="12" t="str">
        <x:v>Certificat de baptême de Nicolas</x:v>
      </x:c>
      <x:c r="D15" s="12" t="str">
        <x:v>piece_pdf-80</x:v>
      </x:c>
      <x:c r="E15" s="12" t="str">
        <x:v>pdf-80</x:v>
      </x:c>
      <x:c r="F15" s="12" t="str">
        <x:v>resolved</x:v>
      </x:c>
      <x:c r="G15" s="12" t="n">
        <x:v>1</x:v>
      </x:c>
      <x:c r="H15" s="12" t="str">
        <x:v>PDFDocument:80</x:v>
      </x:c>
      <x:c r="I15" s="12" t="str"/>
      <x:c r="J15" s="13" t="b">
        <x:v>0</x:v>
      </x:c>
      <x:c r="K15" s="12" t="n">
        <x:v>20</x:v>
      </x:c>
    </x:row>
    <x:row r="16">
      <x:c r="A16" s="12" t="str">
        <x:v>P-13</x:v>
      </x:c>
      <x:c r="B16" s="12" t="str">
        <x:v>1er août 2015</x:v>
      </x:c>
      <x:c r="C16" s="12" t="str">
        <x:v>iMessage « transfert / déchéance autorité parentale » (P-5 Requête)</x:v>
      </x:c>
      <x:c r="D16" s="12" t="str">
        <x:v>piece_photodoc-13</x:v>
      </x:c>
      <x:c r="E16" s="12" t="str">
        <x:v>photodoc-13</x:v>
      </x:c>
      <x:c r="F16" s="12" t="str">
        <x:v>resolved</x:v>
      </x:c>
      <x:c r="G16" s="12" t="n">
        <x:v>1</x:v>
      </x:c>
      <x:c r="H16" s="12" t="str">
        <x:v>PhotoDocument:13</x:v>
      </x:c>
      <x:c r="I16" s="12" t="str"/>
      <x:c r="J16" s="13" t="b">
        <x:v>0</x:v>
      </x:c>
      <x:c r="K16" s="12" t="n">
        <x:v>21</x:v>
      </x:c>
    </x:row>
    <x:row r="17">
      <x:c r="A17" s="12" t="str">
        <x:v>P-14</x:v>
      </x:c>
      <x:c r="B17" s="12" t="str">
        <x:v>16 sept. 2015</x:v>
      </x:c>
      <x:c r="C17" s="12" t="str">
        <x:v>Échange LP ↔ Dr Claudia Écrement</x:v>
      </x:c>
      <x:c r="D17" s="12" t="str">
        <x:v>piece_thread-ecrement_2015</x:v>
      </x:c>
      <x:c r="E17" s="12" t="str">
        <x:v>thread (écrément)</x:v>
      </x:c>
      <x:c r="F17" s="12" t="str">
        <x:v>resolved</x:v>
      </x:c>
      <x:c r="G17" s="12" t="n">
        <x:v>15</x:v>
      </x:c>
      <x:c r="H17" s="12" t="str">
        <x:v>Email:172 | Email:173 | Email:174 | Email:175 | Email:176 | Email:177 | Email:178 | Email:179 | Email:180 | Email:181 | Email:182 | Email:183 | Email:184 | Email:20 | EmailThread:16</x:v>
      </x:c>
      <x:c r="I17" s="12" t="str"/>
      <x:c r="J17" s="13" t="b">
        <x:v>1</x:v>
      </x:c>
      <x:c r="K17" s="12" t="n">
        <x:v>22</x:v>
      </x:c>
    </x:row>
    <x:row r="18">
      <x:c r="A18" s="12" t="str">
        <x:v>P-15</x:v>
      </x:c>
      <x:c r="B18" s="12" t="str">
        <x:v>7 oct. 2015</x:v>
      </x:c>
      <x:c r="C18" s="12" t="str">
        <x:v>Courriel Claudia Écrement → Élise (P-4 Requête)</x:v>
      </x:c>
      <x:c r="D18" s="12" t="str">
        <x:v>piece_photo-4551</x:v>
      </x:c>
      <x:c r="E18" s="12" t="str">
        <x:v>photo-4551</x:v>
      </x:c>
      <x:c r="F18" s="12" t="str">
        <x:v>resolved</x:v>
      </x:c>
      <x:c r="G18" s="12" t="n">
        <x:v>1</x:v>
      </x:c>
      <x:c r="H18" s="12" t="str">
        <x:v>Photo:4551</x:v>
      </x:c>
      <x:c r="I18" s="12" t="str"/>
      <x:c r="J18" s="13" t="b">
        <x:v>0</x:v>
      </x:c>
      <x:c r="K18" s="12" t="n">
        <x:v>23</x:v>
      </x:c>
    </x:row>
    <x:row r="19">
      <x:c r="A19" s="12" t="str">
        <x:v>P-16</x:v>
      </x:c>
      <x:c r="B19" s="12" t="str">
        <x:v>13 août 2015</x:v>
      </x:c>
      <x:c r="C19" s="12" t="str">
        <x:v>Projet de consentement (non signé)</x:v>
      </x:c>
      <x:c r="D19" s="12" t="str">
        <x:v>piece_pdf-5</x:v>
      </x:c>
      <x:c r="E19" s="12" t="str">
        <x:v>pdf-5</x:v>
      </x:c>
      <x:c r="F19" s="12" t="str">
        <x:v>resolved</x:v>
      </x:c>
      <x:c r="G19" s="12" t="n">
        <x:v>1</x:v>
      </x:c>
      <x:c r="H19" s="12" t="str">
        <x:v>PDFDocument:5</x:v>
      </x:c>
      <x:c r="I19" s="12" t="str"/>
      <x:c r="J19" s="13" t="b">
        <x:v>0</x:v>
      </x:c>
      <x:c r="K19" s="12" t="n">
        <x:v>24</x:v>
      </x:c>
    </x:row>
    <x:row r="20">
      <x:c r="A20" s="12" t="str">
        <x:v>P-17</x:v>
      </x:c>
      <x:c r="B20" s="12" t="str">
        <x:v>2 sept. 2015</x:v>
      </x:c>
      <x:c r="C20" s="12" t="str">
        <x:v>Réponse Poirier au projet de consentement</x:v>
      </x:c>
      <x:c r="D20" s="12" t="str">
        <x:v>piece_pdf-6</x:v>
      </x:c>
      <x:c r="E20" s="12" t="str">
        <x:v>pdf-6</x:v>
      </x:c>
      <x:c r="F20" s="12" t="str">
        <x:v>resolved</x:v>
      </x:c>
      <x:c r="G20" s="12" t="n">
        <x:v>1</x:v>
      </x:c>
      <x:c r="H20" s="12" t="str">
        <x:v>PDFDocument:6</x:v>
      </x:c>
      <x:c r="I20" s="12" t="str"/>
      <x:c r="J20" s="13" t="b">
        <x:v>0</x:v>
      </x:c>
      <x:c r="K20" s="12" t="n">
        <x:v>25</x:v>
      </x:c>
    </x:row>
    <x:row r="21">
      <x:c r="A21" s="12" t="str">
        <x:v>P-18</x:v>
      </x:c>
      <x:c r="B21" s="12" t="str">
        <x:v>3 sept. 2015</x:v>
      </x:c>
      <x:c r="C21" s="12" t="str">
        <x:v>Réponse Me Ayoub</x:v>
      </x:c>
      <x:c r="D21" s="12" t="str">
        <x:v>piece_pdf-7</x:v>
      </x:c>
      <x:c r="E21" s="12" t="str">
        <x:v>pdf-7</x:v>
      </x:c>
      <x:c r="F21" s="12" t="str">
        <x:v>resolved</x:v>
      </x:c>
      <x:c r="G21" s="12" t="n">
        <x:v>1</x:v>
      </x:c>
      <x:c r="H21" s="12" t="str">
        <x:v>PDFDocument:7</x:v>
      </x:c>
      <x:c r="I21" s="12" t="str"/>
      <x:c r="J21" s="13" t="b">
        <x:v>0</x:v>
      </x:c>
      <x:c r="K21" s="12" t="n">
        <x:v>26</x:v>
      </x:c>
    </x:row>
    <x:row r="22">
      <x:c r="A22" s="12" t="str">
        <x:v>P-19</x:v>
      </x:c>
      <x:c r="B22" s="12" t="str">
        <x:v>19 nov. 2015</x:v>
      </x:c>
      <x:c r="C22" s="12" t="str">
        <x:v>Requête (assermentée)</x:v>
      </x:c>
      <x:c r="D22" s="12" t="str">
        <x:v>piece_document-1</x:v>
      </x:c>
      <x:c r="E22" s="12" t="str">
        <x:v>document-1</x:v>
      </x:c>
      <x:c r="F22" s="12" t="str">
        <x:v>resolved</x:v>
      </x:c>
      <x:c r="G22" s="12" t="n">
        <x:v>1</x:v>
      </x:c>
      <x:c r="H22" s="12" t="str">
        <x:v>Document:1</x:v>
      </x:c>
      <x:c r="I22" s="12" t="str"/>
      <x:c r="J22" s="13" t="b">
        <x:v>0</x:v>
      </x:c>
      <x:c r="K22" s="12" t="n">
        <x:v>27</x:v>
      </x:c>
    </x:row>
    <x:row r="23">
      <x:c r="A23" s="12" t="str">
        <x:v>P-20</x:v>
      </x:c>
      <x:c r="B23" s="12" t="str">
        <x:v>11 janv. 2016</x:v>
      </x:c>
      <x:c r="C23" s="12" t="str">
        <x:v>Échange pension/dépenses (aveu « enlever cette partie »)</x:v>
      </x:c>
      <x:c r="D23" s="12" t="str">
        <x:v>piece_thread-12_email-16</x:v>
      </x:c>
      <x:c r="E23" s="12" t="str">
        <x:v>email-16</x:v>
      </x:c>
      <x:c r="F23" s="12" t="str">
        <x:v>resolved</x:v>
      </x:c>
      <x:c r="G23" s="12" t="n">
        <x:v>1</x:v>
      </x:c>
      <x:c r="H23" s="12" t="str">
        <x:v>Email:16</x:v>
      </x:c>
      <x:c r="I23" s="12" t="str"/>
      <x:c r="J23" s="13" t="b">
        <x:v>0</x:v>
      </x:c>
      <x:c r="K23" s="12" t="n">
        <x:v>28</x:v>
      </x:c>
    </x:row>
    <x:row r="24">
      <x:c r="A24" s="12" t="str">
        <x:v>P-21</x:v>
      </x:c>
      <x:c r="B24" s="12" t="str">
        <x:v>14 janv. 2016</x:v>
      </x:c>
      <x:c r="C24" s="12" t="str">
        <x:v>Jugement + formulaire de fixation</x:v>
      </x:c>
      <x:c r="D24" s="12" t="str">
        <x:v>piece_pdf-14</x:v>
      </x:c>
      <x:c r="E24" s="12" t="str">
        <x:v>pdf-14</x:v>
      </x:c>
      <x:c r="F24" s="12" t="str">
        <x:v>resolved</x:v>
      </x:c>
      <x:c r="G24" s="12" t="n">
        <x:v>1</x:v>
      </x:c>
      <x:c r="H24" s="12" t="str">
        <x:v>PDFDocument:14</x:v>
      </x:c>
      <x:c r="I24" s="12" t="str"/>
      <x:c r="J24" s="13" t="b">
        <x:v>0</x:v>
      </x:c>
      <x:c r="K24" s="12" t="n">
        <x:v>29</x:v>
      </x:c>
    </x:row>
    <x:row r="25">
      <x:c r="A25" s="12" t="str">
        <x:v>P-22</x:v>
      </x:c>
      <x:c r="B25" s="12" t="str">
        <x:v>16 sept. 2016</x:v>
      </x:c>
      <x:c r="C25" s="12" t="str">
        <x:v>Échanges Élise → LP (reconstruction)</x:v>
      </x:c>
      <x:c r="D25" s="12" t="str">
        <x:v>piece_thread-6_reconstruction email-6/8/295/306</x:v>
      </x:c>
      <x:c r="E25" s="12" t="str">
        <x:v>thread-6</x:v>
      </x:c>
      <x:c r="F25" s="12" t="str">
        <x:v>resolved</x:v>
      </x:c>
      <x:c r="G25" s="12" t="n">
        <x:v>5</x:v>
      </x:c>
      <x:c r="H25" s="12" t="str">
        <x:v>Email:295 | Email:306 | Email:6 | Email:8 | EmailThread:6</x:v>
      </x:c>
      <x:c r="I25" s="12" t="str"/>
      <x:c r="J25" s="13" t="b">
        <x:v>1</x:v>
      </x:c>
      <x:c r="K25" s="12" t="n">
        <x:v>30</x:v>
      </x:c>
    </x:row>
    <x:row r="26">
      <x:c r="A26" s="12" t="str">
        <x:v>P-23</x:v>
      </x:c>
      <x:c r="B26" s="12" t="str">
        <x:v>26 sept. 2016</x:v>
      </x:c>
      <x:c r="C26" s="12" t="str">
        <x:v>Cessation de communication</x:v>
      </x:c>
      <x:c r="D26" s="12" t="str">
        <x:v>piece_thread-5_email-5</x:v>
      </x:c>
      <x:c r="E26" s="12" t="str">
        <x:v>email-5</x:v>
      </x:c>
      <x:c r="F26" s="12" t="str">
        <x:v>resolved</x:v>
      </x:c>
      <x:c r="G26" s="12" t="n">
        <x:v>1</x:v>
      </x:c>
      <x:c r="H26" s="12" t="str">
        <x:v>Email:5</x:v>
      </x:c>
      <x:c r="I26" s="12" t="str"/>
      <x:c r="J26" s="13" t="b">
        <x:v>0</x:v>
      </x:c>
      <x:c r="K26" s="12" t="n">
        <x:v>31</x:v>
      </x:c>
    </x:row>
    <x:row r="27">
      <x:c r="A27" s="12" t="str">
        <x:v>P-24</x:v>
      </x:c>
      <x:c r="B27" s="12" t="str">
        <x:v>juin 2018</x:v>
      </x:c>
      <x:c r="C27" s="12" t="str">
        <x:v>Congédiement BNC (constat de rendement)</x:v>
      </x:c>
      <x:c r="D27" s="12" t="str">
        <x:v>piece_thread-111_congediement_bnc</x:v>
      </x:c>
      <x:c r="E27" s="12" t="str">
        <x:v>thread-111</x:v>
      </x:c>
      <x:c r="F27" s="12" t="str">
        <x:v>resolved</x:v>
      </x:c>
      <x:c r="G27" s="12" t="n">
        <x:v>1</x:v>
      </x:c>
      <x:c r="H27" s="12" t="str">
        <x:v>EmailThread:111</x:v>
      </x:c>
      <x:c r="I27" s="12" t="str"/>
      <x:c r="J27" s="13" t="b">
        <x:v>0</x:v>
      </x:c>
      <x:c r="K27" s="12" t="n">
        <x:v>32</x:v>
      </x:c>
    </x:row>
    <x:row r="28">
      <x:c r="A28" s="12" t="str">
        <x:v>P-25</x:v>
      </x:c>
      <x:c r="B28" s="12" t="str">
        <x:v>6 juin 2019</x:v>
      </x:c>
      <x:c r="C28" s="12" t="str">
        <x:v>Courriel LP → Me Ayoub (contribution grand-mère)</x:v>
      </x:c>
      <x:c r="D28" s="12" t="str">
        <x:v>piece_thread-119_email-484</x:v>
      </x:c>
      <x:c r="E28" s="12" t="str">
        <x:v>email-484</x:v>
      </x:c>
      <x:c r="F28" s="12" t="str">
        <x:v>resolved</x:v>
      </x:c>
      <x:c r="G28" s="12" t="n">
        <x:v>1</x:v>
      </x:c>
      <x:c r="H28" s="12" t="str">
        <x:v>Email:484</x:v>
      </x:c>
      <x:c r="I28" s="12" t="str"/>
      <x:c r="J28" s="13" t="b">
        <x:v>0</x:v>
      </x:c>
      <x:c r="K28" s="12" t="n">
        <x:v>33</x:v>
      </x:c>
    </x:row>
    <x:row r="29">
      <x:c r="A29" s="12" t="str">
        <x:v>P-26</x:v>
      </x:c>
      <x:c r="B29" s="12" t="str">
        <x:v>27 sept. 2019</x:v>
      </x:c>
      <x:c r="C29" s="12" t="str">
        <x:v>Jugement intérimaire (« aucun revenu »)</x:v>
      </x:c>
      <x:c r="D29" s="12" t="str">
        <x:v>piece_pdf-15</x:v>
      </x:c>
      <x:c r="E29" s="12" t="str">
        <x:v>pdf-15</x:v>
      </x:c>
      <x:c r="F29" s="12" t="str">
        <x:v>resolved</x:v>
      </x:c>
      <x:c r="G29" s="12" t="n">
        <x:v>1</x:v>
      </x:c>
      <x:c r="H29" s="12" t="str">
        <x:v>PDFDocument:15</x:v>
      </x:c>
      <x:c r="I29" s="12" t="str"/>
      <x:c r="J29" s="13" t="b">
        <x:v>0</x:v>
      </x:c>
      <x:c r="K29" s="12" t="n">
        <x:v>34</x:v>
      </x:c>
    </x:row>
    <x:row r="30">
      <x:c r="A30" s="12" t="str">
        <x:v>P-27</x:v>
      </x:c>
      <x:c r="B30" s="12" t="str">
        <x:v>15 oct. 2019</x:v>
      </x:c>
      <x:c r="C30" s="12" t="str">
        <x:v>Recherche d'emploi transmise à Me Ayoub</x:v>
      </x:c>
      <x:c r="D30" s="12" t="str">
        <x:v>piece_thread-156_email-615</x:v>
      </x:c>
      <x:c r="E30" s="12" t="str">
        <x:v>thread-156</x:v>
      </x:c>
      <x:c r="F30" s="12" t="str">
        <x:v>resolved</x:v>
      </x:c>
      <x:c r="G30" s="12" t="n">
        <x:v>1</x:v>
      </x:c>
      <x:c r="H30" s="12" t="str">
        <x:v>Email:615</x:v>
      </x:c>
      <x:c r="I30" s="12" t="str"/>
      <x:c r="J30" s="13" t="b">
        <x:v>0</x:v>
      </x:c>
      <x:c r="K30" s="12" t="n">
        <x:v>35</x:v>
      </x:c>
    </x:row>
    <x:row r="31">
      <x:c r="A31" s="12" t="str">
        <x:v>P-28</x:v>
      </x:c>
      <x:c r="B31" s="12" t="str">
        <x:v>21 oct. 2019</x:v>
      </x:c>
      <x:c r="C31" s="12" t="str">
        <x:v>Déclaration de revenus TP-1 2018 d'Élise</x:v>
      </x:c>
      <x:c r="D31" s="12" t="str">
        <x:v>piece_photodoc-17</x:v>
      </x:c>
      <x:c r="E31" s="12" t="str">
        <x:v>photodoc-17</x:v>
      </x:c>
      <x:c r="F31" s="12" t="str">
        <x:v>resolved</x:v>
      </x:c>
      <x:c r="G31" s="12" t="n">
        <x:v>1</x:v>
      </x:c>
      <x:c r="H31" s="12" t="str">
        <x:v>PhotoDocument:17</x:v>
      </x:c>
      <x:c r="I31" s="12" t="str"/>
      <x:c r="J31" s="13" t="b">
        <x:v>0</x:v>
      </x:c>
      <x:c r="K31" s="12" t="n">
        <x:v>36</x:v>
      </x:c>
    </x:row>
    <x:row r="32">
      <x:c r="A32" s="12" t="str">
        <x:v>P-29</x:v>
      </x:c>
      <x:c r="B32" s="12" t="str">
        <x:v>21 oct. 2019</x:v>
      </x:c>
      <x:c r="C32" s="12" t="str">
        <x:v>Formulaire de fixation de la mère</x:v>
      </x:c>
      <x:c r="D32" s="12" t="str">
        <x:v>piece_pdf-16</x:v>
      </x:c>
      <x:c r="E32" s="12" t="str">
        <x:v>pdf-16</x:v>
      </x:c>
      <x:c r="F32" s="12" t="str">
        <x:v>resolved</x:v>
      </x:c>
      <x:c r="G32" s="12" t="n">
        <x:v>1</x:v>
      </x:c>
      <x:c r="H32" s="12" t="str">
        <x:v>PDFDocument:16</x:v>
      </x:c>
      <x:c r="I32" s="12" t="str"/>
      <x:c r="J32" s="13" t="b">
        <x:v>0</x:v>
      </x:c>
      <x:c r="K32" s="12" t="n">
        <x:v>37</x:v>
      </x:c>
    </x:row>
    <x:row r="33">
      <x:c r="A33" s="12" t="str">
        <x:v>P-30</x:v>
      </x:c>
      <x:c r="B33" s="12" t="str">
        <x:v>21 oct. 2019</x:v>
      </x:c>
      <x:c r="C33" s="12" t="str">
        <x:v>Courriels LP → Me Ayoub (21 oct.)</x:v>
      </x:c>
      <x:c r="D33" s="12" t="str">
        <x:v>piece_thread-120_email-485 ; piece_thread-121_email-486</x:v>
      </x:c>
      <x:c r="E33" s="12" t="str">
        <x:v>email-485/486</x:v>
      </x:c>
      <x:c r="F33" s="12" t="str">
        <x:v>resolved</x:v>
      </x:c>
      <x:c r="G33" s="12" t="n">
        <x:v>2</x:v>
      </x:c>
      <x:c r="H33" s="12" t="str">
        <x:v>Email:485 | Email:486</x:v>
      </x:c>
      <x:c r="I33" s="12" t="str"/>
      <x:c r="J33" s="13" t="b">
        <x:v>1</x:v>
      </x:c>
      <x:c r="K33" s="12" t="n">
        <x:v>38</x:v>
      </x:c>
    </x:row>
    <x:row r="34">
      <x:c r="A34" s="12" t="str">
        <x:v>P-31</x:v>
      </x:c>
      <x:c r="B34" s="12" t="str">
        <x:v>21 oct. 2019</x:v>
      </x:c>
      <x:c r="C34" s="12" t="str">
        <x:v>Talons de paie d'Élise (Hydro-Québec)</x:v>
      </x:c>
      <x:c r="D34" s="12" t="str">
        <x:v>piece_thread-160_email-642</x:v>
      </x:c>
      <x:c r="E34" s="12" t="str">
        <x:v>email-642 (pj)</x:v>
      </x:c>
      <x:c r="F34" s="12" t="str">
        <x:v>resolved</x:v>
      </x:c>
      <x:c r="G34" s="12" t="n">
        <x:v>1</x:v>
      </x:c>
      <x:c r="H34" s="12" t="str">
        <x:v>Email:642</x:v>
      </x:c>
      <x:c r="I34" s="12" t="str"/>
      <x:c r="J34" s="13" t="b">
        <x:v>0</x:v>
      </x:c>
      <x:c r="K34" s="12" t="n">
        <x:v>39</x:v>
      </x:c>
    </x:row>
    <x:row r="35">
      <x:c r="A35" s="12" t="str">
        <x:v>P-32</x:v>
      </x:c>
      <x:c r="B35" s="12" t="str">
        <x:v>24 oct. 2019</x:v>
      </x:c>
      <x:c r="C35" s="12" t="str">
        <x:v>Relevé de compte Revenu Québec</x:v>
      </x:c>
      <x:c r="D35" s="12" t="str">
        <x:v>piece_pdf-81</x:v>
      </x:c>
      <x:c r="E35" s="12" t="str">
        <x:v>pdf-81</x:v>
      </x:c>
      <x:c r="F35" s="12" t="str">
        <x:v>resolved</x:v>
      </x:c>
      <x:c r="G35" s="12" t="n">
        <x:v>1</x:v>
      </x:c>
      <x:c r="H35" s="12" t="str">
        <x:v>PDFDocument:81</x:v>
      </x:c>
      <x:c r="I35" s="12" t="str"/>
      <x:c r="J35" s="13" t="b">
        <x:v>0</x:v>
      </x:c>
      <x:c r="K35" s="12" t="n">
        <x:v>40</x:v>
      </x:c>
    </x:row>
    <x:row r="36">
      <x:c r="A36" s="12" t="str">
        <x:v>P-33</x:v>
      </x:c>
      <x:c r="B36" s="12" t="str">
        <x:v>4 nov. 2019</x:v>
      </x:c>
      <x:c r="C36" s="12" t="str">
        <x:v>Formulaire de fixation du père</x:v>
      </x:c>
      <x:c r="D36" s="12" t="str">
        <x:v>piece_pdf-82</x:v>
      </x:c>
      <x:c r="E36" s="12" t="str">
        <x:v>pdf-82</x:v>
      </x:c>
      <x:c r="F36" s="12" t="str">
        <x:v>resolved</x:v>
      </x:c>
      <x:c r="G36" s="12" t="n">
        <x:v>1</x:v>
      </x:c>
      <x:c r="H36" s="12" t="str">
        <x:v>PDFDocument:82</x:v>
      </x:c>
      <x:c r="I36" s="12" t="str"/>
      <x:c r="J36" s="13" t="b">
        <x:v>0</x:v>
      </x:c>
      <x:c r="K36" s="12" t="n">
        <x:v>41</x:v>
      </x:c>
    </x:row>
    <x:row r="37">
      <x:c r="A37" s="12" t="str">
        <x:v>P-34</x:v>
      </x:c>
      <x:c r="B37" s="12" t="str">
        <x:v>4 nov. 2019</x:v>
      </x:c>
      <x:c r="C37" s="12" t="str">
        <x:v>Procès-verbal / jugement</x:v>
      </x:c>
      <x:c r="D37" s="12" t="str">
        <x:v>piece_pdf-13</x:v>
      </x:c>
      <x:c r="E37" s="12" t="str">
        <x:v>pdf-13</x:v>
      </x:c>
      <x:c r="F37" s="12" t="str">
        <x:v>resolved</x:v>
      </x:c>
      <x:c r="G37" s="12" t="n">
        <x:v>1</x:v>
      </x:c>
      <x:c r="H37" s="12" t="str">
        <x:v>PDFDocument:13</x:v>
      </x:c>
      <x:c r="I37" s="12" t="str"/>
      <x:c r="J37" s="13" t="b">
        <x:v>0</x:v>
      </x:c>
      <x:c r="K37" s="12" t="n">
        <x:v>42</x:v>
      </x:c>
    </x:row>
    <x:row r="38">
      <x:c r="A38" s="12" t="str">
        <x:v>P-35</x:v>
      </x:c>
      <x:c r="B38" s="12" t="str">
        <x:v>2018</x:v>
      </x:c>
      <x:c r="C38" s="12" t="str">
        <x:v>Avis de cotisation 2018 du demandeur</x:v>
      </x:c>
      <x:c r="D38" s="12" t="str">
        <x:v>piece_pdf-35  doublon : piece_avis_cotisation_pere_2018</x:v>
      </x:c>
      <x:c r="E38" s="12" t="str">
        <x:v>pdf-35</x:v>
      </x:c>
      <x:c r="F38" s="12" t="str">
        <x:v>resolved</x:v>
      </x:c>
      <x:c r="G38" s="12" t="n">
        <x:v>1</x:v>
      </x:c>
      <x:c r="H38" s="12" t="str">
        <x:v>PDFDocument:35</x:v>
      </x:c>
      <x:c r="I38" s="12" t="str"/>
      <x:c r="J38" s="13" t="b">
        <x:v>0</x:v>
      </x:c>
      <x:c r="K38" s="12" t="n">
        <x:v>43</x:v>
      </x:c>
    </x:row>
    <x:row r="39">
      <x:c r="A39" s="12" t="str">
        <x:v>P-36</x:v>
      </x:c>
      <x:c r="B39" s="12" t="str">
        <x:v>2019</x:v>
      </x:c>
      <x:c r="C39" s="12" t="str">
        <x:v>Avis de cotisation 2019 du demandeur</x:v>
      </x:c>
      <x:c r="D39" s="12" t="str">
        <x:v>piece_pdf-30  doublon : piece_avis_cotisation_pere_2019</x:v>
      </x:c>
      <x:c r="E39" s="12" t="str">
        <x:v>pdf-30</x:v>
      </x:c>
      <x:c r="F39" s="12" t="str">
        <x:v>resolved</x:v>
      </x:c>
      <x:c r="G39" s="12" t="n">
        <x:v>1</x:v>
      </x:c>
      <x:c r="H39" s="12" t="str">
        <x:v>PDFDocument:30</x:v>
      </x:c>
      <x:c r="I39" s="12" t="str"/>
      <x:c r="J39" s="13" t="b">
        <x:v>0</x:v>
      </x:c>
      <x:c r="K39" s="12" t="n">
        <x:v>44</x:v>
      </x:c>
    </x:row>
    <x:row r="40">
      <x:c r="A40" s="12" t="str">
        <x:v>P-37</x:v>
      </x:c>
      <x:c r="B40" s="12" t="str">
        <x:v>17 févr. 2020</x:v>
      </x:c>
      <x:c r="C40" s="12" t="str">
        <x:v>Courriel LP → Me Ayoub (passeport suspendu)</x:v>
      </x:c>
      <x:c r="D40" s="12" t="str">
        <x:v>piece_thread-113_email-462</x:v>
      </x:c>
      <x:c r="E40" s="12" t="str">
        <x:v>email-462</x:v>
      </x:c>
      <x:c r="F40" s="12" t="str">
        <x:v>resolved</x:v>
      </x:c>
      <x:c r="G40" s="12" t="n">
        <x:v>1</x:v>
      </x:c>
      <x:c r="H40" s="12" t="str">
        <x:v>Email:462</x:v>
      </x:c>
      <x:c r="I40" s="12" t="str"/>
      <x:c r="J40" s="13" t="b">
        <x:v>0</x:v>
      </x:c>
      <x:c r="K40" s="12" t="n">
        <x:v>45</x:v>
      </x:c>
    </x:row>
    <x:row r="41">
      <x:c r="A41" s="12" t="str">
        <x:v>P-38</x:v>
      </x:c>
      <x:c r="B41" s="12" t="str">
        <x:v>17 avril 2020</x:v>
      </x:c>
      <x:c r="C41" s="12" t="str">
        <x:v>Courriel LP → Me Ayoub</x:v>
      </x:c>
      <x:c r="D41" s="12" t="str">
        <x:v>piece_thread-4_email-330</x:v>
      </x:c>
      <x:c r="E41" s="12" t="str">
        <x:v>email-330</x:v>
      </x:c>
      <x:c r="F41" s="12" t="str">
        <x:v>resolved</x:v>
      </x:c>
      <x:c r="G41" s="12" t="n">
        <x:v>1</x:v>
      </x:c>
      <x:c r="H41" s="12" t="str">
        <x:v>Email:330</x:v>
      </x:c>
      <x:c r="I41" s="12" t="str"/>
      <x:c r="J41" s="13" t="b">
        <x:v>0</x:v>
      </x:c>
      <x:c r="K41" s="12" t="n">
        <x:v>46</x:v>
      </x:c>
    </x:row>
    <x:row r="42">
      <x:c r="A42" s="12" t="str">
        <x:v>P-39</x:v>
      </x:c>
      <x:c r="B42" s="12" t="str">
        <x:v>22 juin 2020</x:v>
      </x:c>
      <x:c r="C42" s="12" t="str">
        <x:v>Courriel LP → Élise (bonne foi ; Bucarest)</x:v>
      </x:c>
      <x:c r="D42" s="12" t="str">
        <x:v>piece_thread-3_email-3</x:v>
      </x:c>
      <x:c r="E42" s="12" t="str">
        <x:v>email-3</x:v>
      </x:c>
      <x:c r="F42" s="12" t="str">
        <x:v>resolved</x:v>
      </x:c>
      <x:c r="G42" s="12" t="n">
        <x:v>1</x:v>
      </x:c>
      <x:c r="H42" s="12" t="str">
        <x:v>Email:3</x:v>
      </x:c>
      <x:c r="I42" s="12" t="str"/>
      <x:c r="J42" s="13" t="b">
        <x:v>0</x:v>
      </x:c>
      <x:c r="K42" s="12" t="n">
        <x:v>47</x:v>
      </x:c>
    </x:row>
    <x:row r="43">
      <x:c r="A43" s="12" t="str">
        <x:v>P-40</x:v>
      </x:c>
      <x:c r="B43" s="12" t="str">
        <x:v>21 juil. 2023</x:v>
      </x:c>
      <x:c r="C43" s="12" t="str">
        <x:v>Dénonciation d'un moyen déclinatoire</x:v>
      </x:c>
      <x:c r="D43" s="12" t="str">
        <x:v>piece_denonciation_declinatoire_2023</x:v>
      </x:c>
      <x:c r="E43" s="12" t="str">
        <x:v>document-2</x:v>
      </x:c>
      <x:c r="F43" s="12" t="str">
        <x:v>resolved</x:v>
      </x:c>
      <x:c r="G43" s="12" t="n">
        <x:v>1</x:v>
      </x:c>
      <x:c r="H43" s="12" t="str">
        <x:v>Document:2</x:v>
      </x:c>
      <x:c r="I43" s="12" t="str"/>
      <x:c r="J43" s="13" t="b">
        <x:v>0</x:v>
      </x:c>
      <x:c r="K43" s="12" t="n">
        <x:v>48</x:v>
      </x:c>
    </x:row>
    <x:row r="44">
      <x:c r="A44" s="12" t="str">
        <x:v>P-41</x:v>
      </x:c>
      <x:c r="B44" s="12" t="str">
        <x:v>(2026)</x:v>
      </x:c>
      <x:c r="C44" s="12" t="str">
        <x:v>Confirmation par la Paroisse de la marraine</x:v>
      </x:c>
      <x:c r="D44" s="12" t="str">
        <x:v>piece_thread-158_email-633</x:v>
      </x:c>
      <x:c r="E44" s="12" t="str">
        <x:v>email-633</x:v>
      </x:c>
      <x:c r="F44" s="12" t="str">
        <x:v>resolved</x:v>
      </x:c>
      <x:c r="G44" s="12" t="n">
        <x:v>1</x:v>
      </x:c>
      <x:c r="H44" s="12" t="str">
        <x:v>Email:633</x:v>
      </x:c>
      <x:c r="I44" s="12" t="str"/>
      <x:c r="J44" s="13" t="b">
        <x:v>0</x:v>
      </x:c>
      <x:c r="K44" s="12" t="n">
        <x:v>49</x:v>
      </x:c>
    </x:row>
    <x:row r="45">
      <x:c r="A45" s="14" t="str">
        <x:v>P-42</x:v>
      </x:c>
      <x:c r="B45" s="14" t="str">
        <x:v>21 oct. 2019</x:v>
      </x:c>
      <x:c r="C45" s="14" t="str">
        <x:v>Déclaration assermentée de la demanderesse (DA-2019)</x:v>
      </x:c>
      <x:c r="D45" s="14" t="str">
        <x:v>piece_document-3</x:v>
      </x:c>
      <x:c r="E45" s="14" t="str">
        <x:v>document-3</x:v>
      </x:c>
      <x:c r="F45" s="14" t="str">
        <x:v>resolved</x:v>
      </x:c>
      <x:c r="G45" s="14" t="n">
        <x:v>1</x:v>
      </x:c>
      <x:c r="H45" s="14" t="str">
        <x:v>Document:3</x:v>
      </x:c>
      <x:c r="I45" s="14" t="str"/>
      <x:c r="J45" s="15" t="b">
        <x:v>0</x:v>
      </x:c>
      <x:c r="K45" s="14" t="n">
        <x:v>50</x:v>
      </x:c>
    </x:row>
  </x:sheetData>
  <x:mergeCells>
    <x:mergeCell ref="A1:K1"/>
  </x:mergeCells>
  <x:conditionalFormatting sqref="F4:F45">
    <x:cfRule type="containsText" dxfId="0" priority="1" operator="containsText" text="resolved"/>
  </x:conditionalFormatting>
  <x:pageMargins left="0.7" right="0.7" top="0.75" bottom="0.75" header="0.3" footer="0.3"/>
  <x:tableParts count="1">
    <x:tablePart xmlns:r="http://schemas.openxmlformats.org/officeDocument/2006/relationships" r:id="Re62394c128eb423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22" hidden="0" customWidth="1"/>
    <x:col min="4" max="4" width="18" hidden="0" customWidth="1"/>
    <x:col min="5" max="5" width="10" hidden="0" customWidth="1"/>
    <x:col min="6" max="6" width="24" hidden="0" customWidth="1"/>
    <x:col min="7" max="7" width="20" hidden="0" customWidth="1"/>
    <x:col min="8" max="8" width="24" hidden="0" customWidth="1"/>
    <x:col min="9" max="9" width="55" hidden="0" customWidth="1"/>
    <x:col min="10" max="10" width="48" hidden="0" customWidth="1"/>
  </x:cols>
  <x:sheetData>
    <x:row r="1" ht="28" customHeight="1">
      <x:c r="A1" s="2" t="str">
        <x:v>Composantes</x:v>
      </x:c>
      <x:c r="B1" s="2" t="str">
        <x:v>Composantes</x:v>
      </x:c>
      <x:c r="C1" s="2" t="str">
        <x:v>Composantes</x:v>
      </x:c>
      <x:c r="D1" s="2" t="str">
        <x:v>Composantes</x:v>
      </x:c>
      <x:c r="E1" s="2" t="str">
        <x:v>Composantes</x:v>
      </x:c>
      <x:c r="F1" s="2" t="str">
        <x:v>Composantes</x:v>
      </x:c>
      <x:c r="G1" s="2" t="str">
        <x:v>Composantes</x:v>
      </x:c>
      <x:c r="H1" s="2" t="str">
        <x:v>Composantes</x:v>
      </x:c>
      <x:c r="I1" s="2" t="str">
        <x:v>Composantes</x:v>
      </x:c>
      <x:c r="J1" s="2" t="str">
        <x:v>Composantes</x:v>
      </x:c>
    </x:row>
    <x:row r="3" ht="30" customHeight="1">
      <x:c r="A3" s="4" t="str">
        <x:v>Cote</x:v>
      </x:c>
      <x:c r="B3" s="4" t="str">
        <x:v>Ordre</x:v>
      </x:c>
      <x:c r="C3" s="4" t="str">
        <x:v>Clé canonique</x:v>
      </x:c>
      <x:c r="D3" s="4" t="str">
        <x:v>Modèle</x:v>
      </x:c>
      <x:c r="E3" s="4" t="str">
        <x:v>PK</x:v>
      </x:c>
      <x:c r="F3" s="4" t="str">
        <x:v>État Django</x:v>
      </x:c>
      <x:c r="G3" s="4" t="str">
        <x:v>État original</x:v>
      </x:c>
      <x:c r="H3" s="4" t="str">
        <x:v>Date objet</x:v>
      </x:c>
      <x:c r="I3" s="4" t="str">
        <x:v>Titre</x:v>
      </x:c>
      <x:c r="J3" s="4" t="str">
        <x:v>Référence d’appui</x:v>
      </x:c>
    </x:row>
    <x:row r="4">
      <x:c r="A4" s="10" t="str">
        <x:v>P-1</x:v>
      </x:c>
      <x:c r="B4" s="10" t="n">
        <x:v>1</x:v>
      </x:c>
      <x:c r="C4" s="10" t="str">
        <x:v>Photo:4558</x:v>
      </x:c>
      <x:c r="D4" s="10" t="str">
        <x:v>Photo</x:v>
      </x:c>
      <x:c r="E4" s="10" t="n">
        <x:v>4558</x:v>
      </x:c>
      <x:c r="F4" s="10" t="str">
        <x:v>found</x:v>
      </x:c>
      <x:c r="G4" s="10" t="str">
        <x:v>available</x:v>
      </x:c>
      <x:c r="H4" s="16" t="n">
        <x:v>40095.6875</x:v>
      </x:c>
      <x:c r="I4" s="10" t="str">
        <x:v>RQAPAlexia.jpeg copy.png</x:v>
      </x:c>
      <x:c r="J4" s="10" t="str">
        <x:v>piece_photo-4558</x:v>
      </x:c>
    </x:row>
    <x:row r="5">
      <x:c r="A5" s="12" t="str">
        <x:v>P-2</x:v>
      </x:c>
      <x:c r="B5" s="12" t="n">
        <x:v>1</x:v>
      </x:c>
      <x:c r="C5" s="12" t="str">
        <x:v>PDFDocument:1</x:v>
      </x:c>
      <x:c r="D5" s="12" t="str">
        <x:v>PDFDocument</x:v>
      </x:c>
      <x:c r="E5" s="12" t="n">
        <x:v>1</x:v>
      </x:c>
      <x:c r="F5" s="12" t="str">
        <x:v>found</x:v>
      </x:c>
      <x:c r="G5" s="12" t="str">
        <x:v>available</x:v>
      </x:c>
      <x:c r="H5" s="17" t="str">
        <x:v>2013-06-11</x:v>
      </x:c>
      <x:c r="I5" s="12" t="str">
        <x:v>Courriel suggérant de faire une plainte pour violence conjugale</x:v>
      </x:c>
      <x:c r="J5" s="12" t="str">
        <x:v>piece_pdf-1</x:v>
      </x:c>
    </x:row>
    <x:row r="6">
      <x:c r="A6" s="12" t="str">
        <x:v>P-3</x:v>
      </x:c>
      <x:c r="B6" s="12" t="n">
        <x:v>1</x:v>
      </x:c>
      <x:c r="C6" s="12" t="str">
        <x:v>Email:365</x:v>
      </x:c>
      <x:c r="D6" s="12" t="str">
        <x:v>Email</x:v>
      </x:c>
      <x:c r="E6" s="12" t="n">
        <x:v>365</x:v>
      </x:c>
      <x:c r="F6" s="12" t="str">
        <x:v>found</x:v>
      </x:c>
      <x:c r="G6" s="12" t="str">
        <x:v>available</x:v>
      </x:c>
      <x:c r="H6" s="17" t="n">
        <x:v>41451.59622685185</x:v>
      </x:c>
      <x:c r="I6" s="12" t="str">
        <x:v>Conseils</x:v>
      </x:c>
      <x:c r="J6" s="12" t="str">
        <x:v>piece_thread-89_email-365</x:v>
      </x:c>
    </x:row>
    <x:row r="7">
      <x:c r="A7" s="12" t="str">
        <x:v>P-4</x:v>
      </x:c>
      <x:c r="B7" s="12" t="n">
        <x:v>1</x:v>
      </x:c>
      <x:c r="C7" s="12" t="str">
        <x:v>EmailThread:109</x:v>
      </x:c>
      <x:c r="D7" s="12" t="str">
        <x:v>EmailThread</x:v>
      </x:c>
      <x:c r="E7" s="12" t="n">
        <x:v>109</x:v>
      </x:c>
      <x:c r="F7" s="12" t="str">
        <x:v>found</x:v>
      </x:c>
      <x:c r="G7" s="12" t="str">
        <x:v>all_available</x:v>
      </x:c>
      <x:c r="H7" s="17" t="n">
        <x:v>41455.45775462963</x:v>
      </x:c>
      <x:c r="I7" s="12" t="str">
        <x:v>Re: Chalet Alexia (Final)</x:v>
      </x:c>
      <x:c r="J7" s="12" t="str">
        <x:v>piece_thread-109</x:v>
      </x:c>
    </x:row>
    <x:row r="8">
      <x:c r="A8" s="12" t="str">
        <x:v>P-5</x:v>
      </x:c>
      <x:c r="B8" s="12" t="n">
        <x:v>1</x:v>
      </x:c>
      <x:c r="C8" s="12" t="str">
        <x:v>Event:242</x:v>
      </x:c>
      <x:c r="D8" s="12" t="str">
        <x:v>Event</x:v>
      </x:c>
      <x:c r="E8" s="12" t="n">
        <x:v>242</x:v>
      </x:c>
      <x:c r="F8" s="12" t="str">
        <x:v>found</x:v>
      </x:c>
      <x:c r="G8" s="12" t="str">
        <x:v>all_available</x:v>
      </x:c>
      <x:c r="H8" s="17" t="str">
        <x:v>2013-06-16</x:v>
      </x:c>
      <x:c r="I8" s="12" t="str">
        <x:v>On 2013-06-16 between 11:58 and 11:58: LP is in Cape Cod with is family but without Alexia, because Elise opposed the idea on the grounds that Alexia was too young</x:v>
      </x:c>
      <x:c r="J8" s="12" t="str">
        <x:v>Events id=242, 243, 257, 258, 259, 260</x:v>
      </x:c>
    </x:row>
    <x:row r="9">
      <x:c r="A9" s="12" t="str">
        <x:v>P-5</x:v>
      </x:c>
      <x:c r="B9" s="12" t="n">
        <x:v>2</x:v>
      </x:c>
      <x:c r="C9" s="12" t="str">
        <x:v>Event:243</x:v>
      </x:c>
      <x:c r="D9" s="12" t="str">
        <x:v>Event</x:v>
      </x:c>
      <x:c r="E9" s="12" t="n">
        <x:v>243</x:v>
      </x:c>
      <x:c r="F9" s="12" t="str">
        <x:v>found</x:v>
      </x:c>
      <x:c r="G9" s="12" t="str">
        <x:v>all_available</x:v>
      </x:c>
      <x:c r="H9" s="17" t="str">
        <x:v>2013-06-17</x:v>
      </x:c>
      <x:c r="I9" s="12" t="str">
        <x:v>On 2013-06-17 between 13:41 and 13:58: LP is in Cape Cod with is family but without Alexia, because Elise opposed the idea on the grounds that Alexia was too young</x:v>
      </x:c>
      <x:c r="J9" s="12" t="str">
        <x:v>Events id=242, 243, 257, 258, 259, 260</x:v>
      </x:c>
    </x:row>
    <x:row r="10">
      <x:c r="A10" s="12" t="str">
        <x:v>P-5</x:v>
      </x:c>
      <x:c r="B10" s="12" t="n">
        <x:v>3</x:v>
      </x:c>
      <x:c r="C10" s="12" t="str">
        <x:v>Event:257</x:v>
      </x:c>
      <x:c r="D10" s="12" t="str">
        <x:v>Event</x:v>
      </x:c>
      <x:c r="E10" s="12" t="n">
        <x:v>257</x:v>
      </x:c>
      <x:c r="F10" s="12" t="str">
        <x:v>found</x:v>
      </x:c>
      <x:c r="G10" s="12" t="str">
        <x:v>all_available</x:v>
      </x:c>
      <x:c r="H10" s="17" t="str">
        <x:v>2013-08-11</x:v>
      </x:c>
      <x:c r="I10" s="12" t="str">
        <x:v>On 2013-08-11 between 09:19 and 09:20: LP is in Cape Cod with Alexia. LP is taking picture of Alexia with familly friends in Cape Cod</x:v>
      </x:c>
      <x:c r="J10" s="12" t="str">
        <x:v>Events id=242, 243, 257, 258, 259, 260</x:v>
      </x:c>
    </x:row>
    <x:row r="11">
      <x:c r="A11" s="12" t="str">
        <x:v>P-5</x:v>
      </x:c>
      <x:c r="B11" s="12" t="n">
        <x:v>4</x:v>
      </x:c>
      <x:c r="C11" s="12" t="str">
        <x:v>Event:258</x:v>
      </x:c>
      <x:c r="D11" s="12" t="str">
        <x:v>Event</x:v>
      </x:c>
      <x:c r="E11" s="12" t="n">
        <x:v>258</x:v>
      </x:c>
      <x:c r="F11" s="12" t="str">
        <x:v>found</x:v>
      </x:c>
      <x:c r="G11" s="12" t="str">
        <x:v>all_available</x:v>
      </x:c>
      <x:c r="H11" s="17" t="str">
        <x:v>2013-08-12</x:v>
      </x:c>
      <x:c r="I11" s="12" t="str">
        <x:v>On 2013-08-12 between 11:01 and 11:21: LP is in Cape Cod with Alexia. LP is taking picture of Alexia with familly friends in Cape Cod</x:v>
      </x:c>
      <x:c r="J11" s="12" t="str">
        <x:v>Events id=242, 243, 257, 258, 259, 260</x:v>
      </x:c>
    </x:row>
    <x:row r="12">
      <x:c r="A12" s="12" t="str">
        <x:v>P-5</x:v>
      </x:c>
      <x:c r="B12" s="12" t="n">
        <x:v>5</x:v>
      </x:c>
      <x:c r="C12" s="12" t="str">
        <x:v>Event:259</x:v>
      </x:c>
      <x:c r="D12" s="12" t="str">
        <x:v>Event</x:v>
      </x:c>
      <x:c r="E12" s="12" t="n">
        <x:v>259</x:v>
      </x:c>
      <x:c r="F12" s="12" t="str">
        <x:v>found</x:v>
      </x:c>
      <x:c r="G12" s="12" t="str">
        <x:v>all_available</x:v>
      </x:c>
      <x:c r="H12" s="17" t="str">
        <x:v>2013-08-14</x:v>
      </x:c>
      <x:c r="I12" s="12" t="str">
        <x:v>On 2013-08-14 between 09:30 and 09:30: LP is in Cape Cod with Nicolas. LP is taking picture of Nicolas sitting in the shades on the beach</x:v>
      </x:c>
      <x:c r="J12" s="12" t="str">
        <x:v>Events id=242, 243, 257, 258, 259, 260</x:v>
      </x:c>
    </x:row>
    <x:row r="13">
      <x:c r="A13" s="12" t="str">
        <x:v>P-5</x:v>
      </x:c>
      <x:c r="B13" s="12" t="n">
        <x:v>6</x:v>
      </x:c>
      <x:c r="C13" s="12" t="str">
        <x:v>Event:260</x:v>
      </x:c>
      <x:c r="D13" s="12" t="str">
        <x:v>Event</x:v>
      </x:c>
      <x:c r="E13" s="12" t="n">
        <x:v>260</x:v>
      </x:c>
      <x:c r="F13" s="12" t="str">
        <x:v>found</x:v>
      </x:c>
      <x:c r="G13" s="12" t="str">
        <x:v>all_available</x:v>
      </x:c>
      <x:c r="H13" s="17" t="str">
        <x:v>2013-08-16</x:v>
      </x:c>
      <x:c r="I13" s="12" t="str">
        <x:v>On 2013-08-16 between 10:04 and 11:04: LP is in Cape Cod with Alexia</x:v>
      </x:c>
      <x:c r="J13" s="12" t="str">
        <x:v>Events id=242, 243, 257, 258, 259, 260</x:v>
      </x:c>
    </x:row>
    <x:row r="14">
      <x:c r="A14" s="12" t="str">
        <x:v>P-6</x:v>
      </x:c>
      <x:c r="B14" s="12" t="n">
        <x:v>1</x:v>
      </x:c>
      <x:c r="C14" s="12" t="str">
        <x:v>Email:163</x:v>
      </x:c>
      <x:c r="D14" s="12" t="str">
        <x:v>Email</x:v>
      </x:c>
      <x:c r="E14" s="12" t="n">
        <x:v>163</x:v>
      </x:c>
      <x:c r="F14" s="12" t="str">
        <x:v>found</x:v>
      </x:c>
      <x:c r="G14" s="12" t="str">
        <x:v>available</x:v>
      </x:c>
      <x:c r="H14" s="17" t="n">
        <x:v>42062.87975694444</x:v>
      </x:c>
      <x:c r="I14" s="12" t="str">
        <x:v>Re: Cle</x:v>
      </x:c>
      <x:c r="J14" s="12" t="str">
        <x:v>piece_thread-18_email-163</x:v>
      </x:c>
    </x:row>
    <x:row r="15">
      <x:c r="A15" s="12" t="str">
        <x:v>P-7</x:v>
      </x:c>
      <x:c r="B15" s="12" t="n">
        <x:v>1</x:v>
      </x:c>
      <x:c r="C15" s="12" t="str">
        <x:v>PDFDocument:2</x:v>
      </x:c>
      <x:c r="D15" s="12" t="str">
        <x:v>PDFDocument</x:v>
      </x:c>
      <x:c r="E15" s="12" t="n">
        <x:v>2</x:v>
      </x:c>
      <x:c r="F15" s="12" t="str">
        <x:v>found</x:v>
      </x:c>
      <x:c r="G15" s="12" t="str">
        <x:v>available</x:v>
      </x:c>
      <x:c r="H15" s="17" t="str">
        <x:v>2015-04-20</x:v>
      </x:c>
      <x:c r="I15" s="12" t="str">
        <x:v>20150420 FP premiere offre de garde (envois de la position officielle)</x:v>
      </x:c>
      <x:c r="J15" s="12" t="str">
        <x:v>piece_pdf-2</x:v>
      </x:c>
    </x:row>
    <x:row r="16">
      <x:c r="A16" s="12" t="str">
        <x:v>P-8</x:v>
      </x:c>
      <x:c r="B16" s="12" t="n">
        <x:v>1</x:v>
      </x:c>
      <x:c r="C16" s="12" t="str">
        <x:v>Photo:4526</x:v>
      </x:c>
      <x:c r="D16" s="12" t="str">
        <x:v>Photo</x:v>
      </x:c>
      <x:c r="E16" s="12" t="n">
        <x:v>4526</x:v>
      </x:c>
      <x:c r="F16" s="12" t="str">
        <x:v>found</x:v>
      </x:c>
      <x:c r="G16" s="12" t="str">
        <x:v>available</x:v>
      </x:c>
      <x:c r="H16" s="17" t="n">
        <x:v>42115</x:v>
      </x:c>
      <x:c r="I16" s="12" t="str">
        <x:v>IMG_3095 envoyer position officielle.JPG</x:v>
      </x:c>
      <x:c r="J16" s="12" t="str">
        <x:v>piece_p2_messages_7avril2015</x:v>
      </x:c>
    </x:row>
    <x:row r="17">
      <x:c r="A17" s="12" t="str">
        <x:v>P-9</x:v>
      </x:c>
      <x:c r="B17" s="12" t="n">
        <x:v>1</x:v>
      </x:c>
      <x:c r="C17" s="12" t="str">
        <x:v>PDFDocument:3</x:v>
      </x:c>
      <x:c r="D17" s="12" t="str">
        <x:v>PDFDocument</x:v>
      </x:c>
      <x:c r="E17" s="12" t="n">
        <x:v>3</x:v>
      </x:c>
      <x:c r="F17" s="12" t="str">
        <x:v>found</x:v>
      </x:c>
      <x:c r="G17" s="12" t="str">
        <x:v>available</x:v>
      </x:c>
      <x:c r="H17" s="17" t="str">
        <x:v>2015-04-27</x:v>
      </x:c>
      <x:c r="I17" s="12" t="str">
        <x:v>Réponse à l'offre de garde partagée</x:v>
      </x:c>
      <x:c r="J17" s="12" t="str">
        <x:v>piece_pdf-3</x:v>
      </x:c>
    </x:row>
    <x:row r="18">
      <x:c r="A18" s="12" t="str">
        <x:v>P-10</x:v>
      </x:c>
      <x:c r="B18" s="12" t="n">
        <x:v>1</x:v>
      </x:c>
      <x:c r="C18" s="12" t="str">
        <x:v>Email:399</x:v>
      </x:c>
      <x:c r="D18" s="12" t="str">
        <x:v>Email</x:v>
      </x:c>
      <x:c r="E18" s="12" t="n">
        <x:v>399</x:v>
      </x:c>
      <x:c r="F18" s="12" t="str">
        <x:v>found</x:v>
      </x:c>
      <x:c r="G18" s="12" t="str">
        <x:v>available</x:v>
      </x:c>
      <x:c r="H18" s="17" t="n">
        <x:v>42121.784537037034</x:v>
      </x:c>
      <x:c r="I18" s="12" t="str">
        <x:v>Re: Ayoub c. David</x:v>
      </x:c>
      <x:c r="J18" s="12" t="str">
        <x:v>piece_thread-100_email-399</x:v>
      </x:c>
    </x:row>
    <x:row r="19">
      <x:c r="A19" s="12" t="str">
        <x:v>P-11</x:v>
      </x:c>
      <x:c r="B19" s="12" t="n">
        <x:v>1</x:v>
      </x:c>
      <x:c r="C19" s="12" t="str">
        <x:v>Email:343</x:v>
      </x:c>
      <x:c r="D19" s="12" t="str">
        <x:v>Email</x:v>
      </x:c>
      <x:c r="E19" s="12" t="n">
        <x:v>343</x:v>
      </x:c>
      <x:c r="F19" s="12" t="str">
        <x:v>found</x:v>
      </x:c>
      <x:c r="G19" s="12" t="str">
        <x:v>available</x:v>
      </x:c>
      <x:c r="H19" s="17" t="n">
        <x:v>42204.597766203704</x:v>
      </x:c>
      <x:c r="I19" s="12" t="str">
        <x:v>Re: Baptême de Nicolas</x:v>
      </x:c>
      <x:c r="J19" s="12" t="str">
        <x:v>piece_thread-76_email-343</x:v>
      </x:c>
    </x:row>
    <x:row r="20">
      <x:c r="A20" s="12" t="str">
        <x:v>P-12</x:v>
      </x:c>
      <x:c r="B20" s="12" t="n">
        <x:v>1</x:v>
      </x:c>
      <x:c r="C20" s="12" t="str">
        <x:v>PDFDocument:80</x:v>
      </x:c>
      <x:c r="D20" s="12" t="str">
        <x:v>PDFDocument</x:v>
      </x:c>
      <x:c r="E20" s="12" t="n">
        <x:v>80</x:v>
      </x:c>
      <x:c r="F20" s="12" t="str">
        <x:v>found</x:v>
      </x:c>
      <x:c r="G20" s="12" t="str">
        <x:v>available</x:v>
      </x:c>
      <x:c r="H20" s="17" t="str">
        <x:v>2015-07-19</x:v>
      </x:c>
      <x:c r="I20" s="12" t="str">
        <x:v>Certificat de Baptême de Nicolas</x:v>
      </x:c>
      <x:c r="J20" s="12" t="str">
        <x:v>piece_pdf-80</x:v>
      </x:c>
    </x:row>
    <x:row r="21">
      <x:c r="A21" s="12" t="str">
        <x:v>P-13</x:v>
      </x:c>
      <x:c r="B21" s="12" t="n">
        <x:v>1</x:v>
      </x:c>
      <x:c r="C21" s="12" t="str">
        <x:v>PhotoDocument:13</x:v>
      </x:c>
      <x:c r="D21" s="12" t="str">
        <x:v>PhotoDocument</x:v>
      </x:c>
      <x:c r="E21" s="12" t="n">
        <x:v>13</x:v>
      </x:c>
      <x:c r="F21" s="12" t="str">
        <x:v>found</x:v>
      </x:c>
      <x:c r="G21" s="12" t="str">
        <x:v>all_available</x:v>
      </x:c>
      <x:c r="H21" s="17" t="n">
        <x:v>42226.6875</x:v>
      </x:c>
      <x:c r="I21" s="12" t="str">
        <x:v>Courriel LP — demande déchéance attributs autorité parentale (10 août 2015)</x:v>
      </x:c>
      <x:c r="J21" s="12" t="str">
        <x:v>piece_photodoc-13</x:v>
      </x:c>
    </x:row>
    <x:row r="22">
      <x:c r="A22" s="12" t="str">
        <x:v>P-14</x:v>
      </x:c>
      <x:c r="B22" s="12" t="n">
        <x:v>1</x:v>
      </x:c>
      <x:c r="C22" s="12" t="str">
        <x:v>Email:172</x:v>
      </x:c>
      <x:c r="D22" s="12" t="str">
        <x:v>Email</x:v>
      </x:c>
      <x:c r="E22" s="12" t="n">
        <x:v>172</x:v>
      </x:c>
      <x:c r="F22" s="12" t="str">
        <x:v>found</x:v>
      </x:c>
      <x:c r="G22" s="12" t="str">
        <x:v>available</x:v>
      </x:c>
      <x:c r="H22" s="17" t="n">
        <x:v>42264.78225694445</x:v>
      </x:c>
      <x:c r="I22" s="12" t="str">
        <x:v>Re: renocntre</x:v>
      </x:c>
      <x:c r="J22" s="12" t="str">
        <x:v>piece_thread-ecrement_2015</x:v>
      </x:c>
    </x:row>
    <x:row r="23">
      <x:c r="A23" s="12" t="str">
        <x:v>P-14</x:v>
      </x:c>
      <x:c r="B23" s="12" t="n">
        <x:v>2</x:v>
      </x:c>
      <x:c r="C23" s="12" t="str">
        <x:v>Email:173</x:v>
      </x:c>
      <x:c r="D23" s="12" t="str">
        <x:v>Email</x:v>
      </x:c>
      <x:c r="E23" s="12" t="n">
        <x:v>173</x:v>
      </x:c>
      <x:c r="F23" s="12" t="str">
        <x:v>found</x:v>
      </x:c>
      <x:c r="G23" s="12" t="str">
        <x:v>available</x:v>
      </x:c>
      <x:c r="H23" s="17" t="n">
        <x:v>42264.697071759256</x:v>
      </x:c>
      <x:c r="I23" s="12" t="str">
        <x:v>Re: renocntre</x:v>
      </x:c>
      <x:c r="J23" s="12" t="str">
        <x:v>piece_thread-ecrement_2015</x:v>
      </x:c>
    </x:row>
    <x:row r="24">
      <x:c r="A24" s="12" t="str">
        <x:v>P-14</x:v>
      </x:c>
      <x:c r="B24" s="12" t="n">
        <x:v>3</x:v>
      </x:c>
      <x:c r="C24" s="12" t="str">
        <x:v>Email:174</x:v>
      </x:c>
      <x:c r="D24" s="12" t="str">
        <x:v>Email</x:v>
      </x:c>
      <x:c r="E24" s="12" t="n">
        <x:v>174</x:v>
      </x:c>
      <x:c r="F24" s="12" t="str">
        <x:v>found</x:v>
      </x:c>
      <x:c r="G24" s="12" t="str">
        <x:v>available</x:v>
      </x:c>
      <x:c r="H24" s="17" t="n">
        <x:v>42263.79840277778</x:v>
      </x:c>
      <x:c r="I24" s="12" t="str">
        <x:v>renocntre</x:v>
      </x:c>
      <x:c r="J24" s="12" t="str">
        <x:v>piece_thread-ecrement_2015</x:v>
      </x:c>
    </x:row>
    <x:row r="25">
      <x:c r="A25" s="12" t="str">
        <x:v>P-14</x:v>
      </x:c>
      <x:c r="B25" s="12" t="n">
        <x:v>4</x:v>
      </x:c>
      <x:c r="C25" s="12" t="str">
        <x:v>Email:175</x:v>
      </x:c>
      <x:c r="D25" s="12" t="str">
        <x:v>Email</x:v>
      </x:c>
      <x:c r="E25" s="12" t="n">
        <x:v>175</x:v>
      </x:c>
      <x:c r="F25" s="12" t="str">
        <x:v>found</x:v>
      </x:c>
      <x:c r="G25" s="12" t="str">
        <x:v>available</x:v>
      </x:c>
      <x:c r="H25" s="17" t="n">
        <x:v>42284.05100694444</x:v>
      </x:c>
      <x:c r="I25" s="12" t="str">
        <x:v>Fwd: renocntre</x:v>
      </x:c>
      <x:c r="J25" s="12" t="str">
        <x:v>piece_thread-ecrement_2015</x:v>
      </x:c>
    </x:row>
    <x:row r="26">
      <x:c r="A26" s="12" t="str">
        <x:v>P-14</x:v>
      </x:c>
      <x:c r="B26" s="12" t="n">
        <x:v>5</x:v>
      </x:c>
      <x:c r="C26" s="12" t="str">
        <x:v>Email:176</x:v>
      </x:c>
      <x:c r="D26" s="12" t="str">
        <x:v>Email</x:v>
      </x:c>
      <x:c r="E26" s="12" t="n">
        <x:v>176</x:v>
      </x:c>
      <x:c r="F26" s="12" t="str">
        <x:v>found</x:v>
      </x:c>
      <x:c r="G26" s="12" t="str">
        <x:v>available</x:v>
      </x:c>
      <x:c r="H26" s="17" t="n">
        <x:v>42284.50373842593</x:v>
      </x:c>
      <x:c r="I26" s="12" t="str">
        <x:v>Re: renocntre</x:v>
      </x:c>
      <x:c r="J26" s="12" t="str">
        <x:v>piece_thread-ecrement_2015</x:v>
      </x:c>
    </x:row>
    <x:row r="27">
      <x:c r="A27" s="12" t="str">
        <x:v>P-14</x:v>
      </x:c>
      <x:c r="B27" s="12" t="n">
        <x:v>6</x:v>
      </x:c>
      <x:c r="C27" s="12" t="str">
        <x:v>Email:177</x:v>
      </x:c>
      <x:c r="D27" s="12" t="str">
        <x:v>Email</x:v>
      </x:c>
      <x:c r="E27" s="12" t="n">
        <x:v>177</x:v>
      </x:c>
      <x:c r="F27" s="12" t="str">
        <x:v>found</x:v>
      </x:c>
      <x:c r="G27" s="12" t="str">
        <x:v>available</x:v>
      </x:c>
      <x:c r="H27" s="17" t="n">
        <x:v>42284.49855324074</x:v>
      </x:c>
      <x:c r="I27" s="12" t="str">
        <x:v>Re: renocntre</x:v>
      </x:c>
      <x:c r="J27" s="12" t="str">
        <x:v>piece_thread-ecrement_2015</x:v>
      </x:c>
    </x:row>
    <x:row r="28">
      <x:c r="A28" s="12" t="str">
        <x:v>P-14</x:v>
      </x:c>
      <x:c r="B28" s="12" t="n">
        <x:v>7</x:v>
      </x:c>
      <x:c r="C28" s="12" t="str">
        <x:v>Email:178</x:v>
      </x:c>
      <x:c r="D28" s="12" t="str">
        <x:v>Email</x:v>
      </x:c>
      <x:c r="E28" s="12" t="n">
        <x:v>178</x:v>
      </x:c>
      <x:c r="F28" s="12" t="str">
        <x:v>found</x:v>
      </x:c>
      <x:c r="G28" s="12" t="str">
        <x:v>available</x:v>
      </x:c>
      <x:c r="H28" s="17" t="n">
        <x:v>42284.501064814816</x:v>
      </x:c>
      <x:c r="I28" s="12" t="str">
        <x:v>Re: renocntre</x:v>
      </x:c>
      <x:c r="J28" s="12" t="str">
        <x:v>piece_thread-ecrement_2015</x:v>
      </x:c>
    </x:row>
    <x:row r="29">
      <x:c r="A29" s="12" t="str">
        <x:v>P-14</x:v>
      </x:c>
      <x:c r="B29" s="12" t="n">
        <x:v>8</x:v>
      </x:c>
      <x:c r="C29" s="12" t="str">
        <x:v>Email:179</x:v>
      </x:c>
      <x:c r="D29" s="12" t="str">
        <x:v>Email</x:v>
      </x:c>
      <x:c r="E29" s="12" t="n">
        <x:v>179</x:v>
      </x:c>
      <x:c r="F29" s="12" t="str">
        <x:v>found</x:v>
      </x:c>
      <x:c r="G29" s="12" t="str">
        <x:v>available</x:v>
      </x:c>
      <x:c r="H29" s="17" t="n">
        <x:v>42264.644270833334</x:v>
      </x:c>
      <x:c r="I29" s="12" t="str">
        <x:v>Re: renocntre</x:v>
      </x:c>
      <x:c r="J29" s="12" t="str">
        <x:v>piece_thread-ecrement_2015</x:v>
      </x:c>
    </x:row>
    <x:row r="30">
      <x:c r="A30" s="12" t="str">
        <x:v>P-14</x:v>
      </x:c>
      <x:c r="B30" s="12" t="n">
        <x:v>9</x:v>
      </x:c>
      <x:c r="C30" s="12" t="str">
        <x:v>Email:180</x:v>
      </x:c>
      <x:c r="D30" s="12" t="str">
        <x:v>Email</x:v>
      </x:c>
      <x:c r="E30" s="12" t="n">
        <x:v>180</x:v>
      </x:c>
      <x:c r="F30" s="12" t="str">
        <x:v>found</x:v>
      </x:c>
      <x:c r="G30" s="12" t="str">
        <x:v>available</x:v>
      </x:c>
      <x:c r="H30" s="17" t="n">
        <x:v>42284.493784722225</x:v>
      </x:c>
      <x:c r="I30" s="12" t="str">
        <x:v>Re: renocntre</x:v>
      </x:c>
      <x:c r="J30" s="12" t="str">
        <x:v>piece_thread-ecrement_2015</x:v>
      </x:c>
    </x:row>
    <x:row r="31">
      <x:c r="A31" s="12" t="str">
        <x:v>P-14</x:v>
      </x:c>
      <x:c r="B31" s="12" t="n">
        <x:v>10</x:v>
      </x:c>
      <x:c r="C31" s="12" t="str">
        <x:v>Email:181</x:v>
      </x:c>
      <x:c r="D31" s="12" t="str">
        <x:v>Email</x:v>
      </x:c>
      <x:c r="E31" s="12" t="n">
        <x:v>181</x:v>
      </x:c>
      <x:c r="F31" s="12" t="str">
        <x:v>found</x:v>
      </x:c>
      <x:c r="G31" s="12" t="str">
        <x:v>available</x:v>
      </x:c>
      <x:c r="H31" s="17" t="n">
        <x:v>42264.69248842593</x:v>
      </x:c>
      <x:c r="I31" s="12" t="str">
        <x:v>Re: renocntre</x:v>
      </x:c>
      <x:c r="J31" s="12" t="str">
        <x:v>piece_thread-ecrement_2015</x:v>
      </x:c>
    </x:row>
    <x:row r="32">
      <x:c r="A32" s="12" t="str">
        <x:v>P-14</x:v>
      </x:c>
      <x:c r="B32" s="12" t="n">
        <x:v>11</x:v>
      </x:c>
      <x:c r="C32" s="12" t="str">
        <x:v>Email:182</x:v>
      </x:c>
      <x:c r="D32" s="12" t="str">
        <x:v>Email</x:v>
      </x:c>
      <x:c r="E32" s="12" t="n">
        <x:v>182</x:v>
      </x:c>
      <x:c r="F32" s="12" t="str">
        <x:v>found</x:v>
      </x:c>
      <x:c r="G32" s="12" t="str">
        <x:v>available</x:v>
      </x:c>
      <x:c r="H32" s="17" t="n">
        <x:v>42264.634247685186</x:v>
      </x:c>
      <x:c r="I32" s="12" t="str">
        <x:v>Re: renocntre</x:v>
      </x:c>
      <x:c r="J32" s="12" t="str">
        <x:v>piece_thread-ecrement_2015</x:v>
      </x:c>
    </x:row>
    <x:row r="33">
      <x:c r="A33" s="12" t="str">
        <x:v>P-14</x:v>
      </x:c>
      <x:c r="B33" s="12" t="n">
        <x:v>12</x:v>
      </x:c>
      <x:c r="C33" s="12" t="str">
        <x:v>Email:183</x:v>
      </x:c>
      <x:c r="D33" s="12" t="str">
        <x:v>Email</x:v>
      </x:c>
      <x:c r="E33" s="12" t="n">
        <x:v>183</x:v>
      </x:c>
      <x:c r="F33" s="12" t="str">
        <x:v>found</x:v>
      </x:c>
      <x:c r="G33" s="12" t="str">
        <x:v>available</x:v>
      </x:c>
      <x:c r="H33" s="17" t="n">
        <x:v>42264.65526620371</x:v>
      </x:c>
      <x:c r="I33" s="12" t="str">
        <x:v>Re: renocntre</x:v>
      </x:c>
      <x:c r="J33" s="12" t="str">
        <x:v>piece_thread-ecrement_2015</x:v>
      </x:c>
    </x:row>
    <x:row r="34">
      <x:c r="A34" s="12" t="str">
        <x:v>P-14</x:v>
      </x:c>
      <x:c r="B34" s="12" t="n">
        <x:v>13</x:v>
      </x:c>
      <x:c r="C34" s="12" t="str">
        <x:v>Email:184</x:v>
      </x:c>
      <x:c r="D34" s="12" t="str">
        <x:v>Email</x:v>
      </x:c>
      <x:c r="E34" s="12" t="n">
        <x:v>184</x:v>
      </x:c>
      <x:c r="F34" s="12" t="str">
        <x:v>found</x:v>
      </x:c>
      <x:c r="G34" s="12" t="str">
        <x:v>available</x:v>
      </x:c>
      <x:c r="H34" s="17" t="n">
        <x:v>42263.94525462963</x:v>
      </x:c>
      <x:c r="I34" s="12" t="str">
        <x:v>Re: renocntre</x:v>
      </x:c>
      <x:c r="J34" s="12" t="str">
        <x:v>piece_thread-ecrement_2015</x:v>
      </x:c>
    </x:row>
    <x:row r="35">
      <x:c r="A35" s="12" t="str">
        <x:v>P-14</x:v>
      </x:c>
      <x:c r="B35" s="12" t="n">
        <x:v>14</x:v>
      </x:c>
      <x:c r="C35" s="12" t="str">
        <x:v>Email:20</x:v>
      </x:c>
      <x:c r="D35" s="12" t="str">
        <x:v>Email</x:v>
      </x:c>
      <x:c r="E35" s="12" t="n">
        <x:v>20</x:v>
      </x:c>
      <x:c r="F35" s="12" t="str">
        <x:v>found</x:v>
      </x:c>
      <x:c r="G35" s="12" t="str">
        <x:v>available</x:v>
      </x:c>
      <x:c r="H35" s="17" t="n">
        <x:v>42264.65914351852</x:v>
      </x:c>
      <x:c r="I35" s="12" t="str">
        <x:v>Re: renocntre</x:v>
      </x:c>
      <x:c r="J35" s="12" t="str">
        <x:v>piece_thread-ecrement_2015</x:v>
      </x:c>
    </x:row>
    <x:row r="36">
      <x:c r="A36" s="12" t="str">
        <x:v>P-14</x:v>
      </x:c>
      <x:c r="B36" s="12" t="n">
        <x:v>15</x:v>
      </x:c>
      <x:c r="C36" s="12" t="str">
        <x:v>EmailThread:16</x:v>
      </x:c>
      <x:c r="D36" s="12" t="str">
        <x:v>EmailThread</x:v>
      </x:c>
      <x:c r="E36" s="12" t="n">
        <x:v>16</x:v>
      </x:c>
      <x:c r="F36" s="12" t="str">
        <x:v>found</x:v>
      </x:c>
      <x:c r="G36" s="12" t="str">
        <x:v>all_available</x:v>
      </x:c>
      <x:c r="H36" s="17" t="n">
        <x:v>42263.79840277778</x:v>
      </x:c>
      <x:c r="I36" s="12" t="str">
        <x:v>Re: renocntre</x:v>
      </x:c>
      <x:c r="J36" s="12" t="str">
        <x:v>piece_thread-ecrement_2015</x:v>
      </x:c>
    </x:row>
    <x:row r="37">
      <x:c r="A37" s="12" t="str">
        <x:v>P-15</x:v>
      </x:c>
      <x:c r="B37" s="12" t="n">
        <x:v>1</x:v>
      </x:c>
      <x:c r="C37" s="12" t="str">
        <x:v>Photo:4551</x:v>
      </x:c>
      <x:c r="D37" s="12" t="str">
        <x:v>Photo</x:v>
      </x:c>
      <x:c r="E37" s="12" t="n">
        <x:v>4551</x:v>
      </x:c>
      <x:c r="F37" s="12" t="str">
        <x:v>found</x:v>
      </x:c>
      <x:c r="G37" s="12" t="str">
        <x:v>available</x:v>
      </x:c>
      <x:c r="H37" s="17" t="n">
        <x:v>42284.520833333336</x:v>
      </x:c>
      <x:c r="I37" s="12" t="str">
        <x:v>P-4 claudia ecrement.png</x:v>
      </x:c>
      <x:c r="J37" s="12" t="str">
        <x:v>piece_photo-4551</x:v>
      </x:c>
    </x:row>
    <x:row r="38">
      <x:c r="A38" s="12" t="str">
        <x:v>P-16</x:v>
      </x:c>
      <x:c r="B38" s="12" t="n">
        <x:v>1</x:v>
      </x:c>
      <x:c r="C38" s="12" t="str">
        <x:v>PDFDocument:5</x:v>
      </x:c>
      <x:c r="D38" s="12" t="str">
        <x:v>PDFDocument</x:v>
      </x:c>
      <x:c r="E38" s="12" t="n">
        <x:v>5</x:v>
      </x:c>
      <x:c r="F38" s="12" t="str">
        <x:v>found</x:v>
      </x:c>
      <x:c r="G38" s="12" t="str">
        <x:v>available</x:v>
      </x:c>
      <x:c r="H38" s="17" t="str">
        <x:v>2015-08-13</x:v>
      </x:c>
      <x:c r="I38" s="12" t="str">
        <x:v>20150813 MJ projet consentement</x:v>
      </x:c>
      <x:c r="J38" s="12" t="str">
        <x:v>piece_pdf-5</x:v>
      </x:c>
    </x:row>
    <x:row r="39">
      <x:c r="A39" s="12" t="str">
        <x:v>P-17</x:v>
      </x:c>
      <x:c r="B39" s="12" t="n">
        <x:v>1</x:v>
      </x:c>
      <x:c r="C39" s="12" t="str">
        <x:v>PDFDocument:6</x:v>
      </x:c>
      <x:c r="D39" s="12" t="str">
        <x:v>PDFDocument</x:v>
      </x:c>
      <x:c r="E39" s="12" t="n">
        <x:v>6</x:v>
      </x:c>
      <x:c r="F39" s="12" t="str">
        <x:v>found</x:v>
      </x:c>
      <x:c r="G39" s="12" t="str">
        <x:v>available</x:v>
      </x:c>
      <x:c r="H39" s="17" t="str">
        <x:v>2015-09-02</x:v>
      </x:c>
      <x:c r="I39" s="12" t="str">
        <x:v>20150902 FP réponse projet consentement</x:v>
      </x:c>
      <x:c r="J39" s="12" t="str">
        <x:v>piece_pdf-6</x:v>
      </x:c>
    </x:row>
    <x:row r="40">
      <x:c r="A40" s="12" t="str">
        <x:v>P-18</x:v>
      </x:c>
      <x:c r="B40" s="12" t="n">
        <x:v>1</x:v>
      </x:c>
      <x:c r="C40" s="12" t="str">
        <x:v>PDFDocument:7</x:v>
      </x:c>
      <x:c r="D40" s="12" t="str">
        <x:v>PDFDocument</x:v>
      </x:c>
      <x:c r="E40" s="12" t="n">
        <x:v>7</x:v>
      </x:c>
      <x:c r="F40" s="12" t="str">
        <x:v>found</x:v>
      </x:c>
      <x:c r="G40" s="12" t="str">
        <x:v>available</x:v>
      </x:c>
      <x:c r="H40" s="17" t="str">
        <x:v>2015-09-03</x:v>
      </x:c>
      <x:c r="I40" s="12" t="str">
        <x:v>Réponse finale à l'offre d'une progression vers une garde partagée</x:v>
      </x:c>
      <x:c r="J40" s="12" t="str">
        <x:v>piece_pdf-7</x:v>
      </x:c>
    </x:row>
    <x:row r="41">
      <x:c r="A41" s="12" t="str">
        <x:v>P-19</x:v>
      </x:c>
      <x:c r="B41" s="12" t="n">
        <x:v>1</x:v>
      </x:c>
      <x:c r="C41" s="12" t="str">
        <x:v>Document:1</x:v>
      </x:c>
      <x:c r="D41" s="12" t="str">
        <x:v>Document</x:v>
      </x:c>
      <x:c r="E41" s="12" t="n">
        <x:v>1</x:v>
      </x:c>
      <x:c r="F41" s="12" t="str">
        <x:v>found</x:v>
      </x:c>
      <x:c r="G41" s="12" t="str">
        <x:v>available</x:v>
      </x:c>
      <x:c r="H41" s="17" t="str">
        <x:v>2015-11-27</x:v>
      </x:c>
      <x:c r="I41" s="12" t="str">
        <x:v>REQUÊTE EN GARDE, FIXATION DE LA PENSION ALIMENTAIRE POUR ENFANT ET ORDONNANCE DE SAUVEGARDE</x:v>
      </x:c>
      <x:c r="J41" s="12" t="str">
        <x:v>piece_document-1</x:v>
      </x:c>
    </x:row>
    <x:row r="42">
      <x:c r="A42" s="12" t="str">
        <x:v>P-20</x:v>
      </x:c>
      <x:c r="B42" s="12" t="n">
        <x:v>1</x:v>
      </x:c>
      <x:c r="C42" s="12" t="str">
        <x:v>Email:16</x:v>
      </x:c>
      <x:c r="D42" s="12" t="str">
        <x:v>Email</x:v>
      </x:c>
      <x:c r="E42" s="12" t="n">
        <x:v>16</x:v>
      </x:c>
      <x:c r="F42" s="12" t="str">
        <x:v>found</x:v>
      </x:c>
      <x:c r="G42" s="12" t="str">
        <x:v>available</x:v>
      </x:c>
      <x:c r="H42" s="17" t="n">
        <x:v>42380.95980324074</x:v>
      </x:c>
      <x:c r="I42" s="12" t="str">
        <x:v>Re: Dépenses</x:v>
      </x:c>
      <x:c r="J42" s="12" t="str">
        <x:v>piece_thread-12_email-16</x:v>
      </x:c>
    </x:row>
    <x:row r="43">
      <x:c r="A43" s="12" t="str">
        <x:v>P-21</x:v>
      </x:c>
      <x:c r="B43" s="12" t="n">
        <x:v>1</x:v>
      </x:c>
      <x:c r="C43" s="12" t="str">
        <x:v>PDFDocument:14</x:v>
      </x:c>
      <x:c r="D43" s="12" t="str">
        <x:v>PDFDocument</x:v>
      </x:c>
      <x:c r="E43" s="12" t="n">
        <x:v>14</x:v>
      </x:c>
      <x:c r="F43" s="12" t="str">
        <x:v>found</x:v>
      </x:c>
      <x:c r="G43" s="12" t="str">
        <x:v>available</x:v>
      </x:c>
      <x:c r="H43" s="17" t="str">
        <x:v>2016-01-14</x:v>
      </x:c>
      <x:c r="I43" s="12" t="str">
        <x:v>Jugement sur la garde des enfants</x:v>
      </x:c>
      <x:c r="J43" s="12" t="str">
        <x:v>piece_pdf-14</x:v>
      </x:c>
    </x:row>
    <x:row r="44">
      <x:c r="A44" s="12" t="str">
        <x:v>P-22</x:v>
      </x:c>
      <x:c r="B44" s="12" t="n">
        <x:v>1</x:v>
      </x:c>
      <x:c r="C44" s="12" t="str">
        <x:v>Email:295</x:v>
      </x:c>
      <x:c r="D44" s="12" t="str">
        <x:v>Email</x:v>
      </x:c>
      <x:c r="E44" s="12" t="n">
        <x:v>295</x:v>
      </x:c>
      <x:c r="F44" s="12" t="str">
        <x:v>found</x:v>
      </x:c>
      <x:c r="G44" s="12" t="str">
        <x:v>available</x:v>
      </x:c>
      <x:c r="H44" s="17" t="n">
        <x:v>42629.67215277778</x:v>
      </x:c>
      <x:c r="I44" s="12" t="str">
        <x:v>Re: Visite</x:v>
      </x:c>
      <x:c r="J44" s="12" t="str">
        <x:v>piece_thread-6_reconstruction email-6/8/295/306</x:v>
      </x:c>
    </x:row>
    <x:row r="45">
      <x:c r="A45" s="12" t="str">
        <x:v>P-22</x:v>
      </x:c>
      <x:c r="B45" s="12" t="n">
        <x:v>2</x:v>
      </x:c>
      <x:c r="C45" s="12" t="str">
        <x:v>Email:306</x:v>
      </x:c>
      <x:c r="D45" s="12" t="str">
        <x:v>Email</x:v>
      </x:c>
      <x:c r="E45" s="12" t="n">
        <x:v>306</x:v>
      </x:c>
      <x:c r="F45" s="12" t="str">
        <x:v>found</x:v>
      </x:c>
      <x:c r="G45" s="12" t="str">
        <x:v>available</x:v>
      </x:c>
      <x:c r="H45" s="17" t="n">
        <x:v>42629.86844907407</x:v>
      </x:c>
      <x:c r="I45" s="12" t="str">
        <x:v>Re: Visite</x:v>
      </x:c>
      <x:c r="J45" s="12" t="str">
        <x:v>piece_thread-6_reconstruction email-6/8/295/306</x:v>
      </x:c>
    </x:row>
    <x:row r="46">
      <x:c r="A46" s="12" t="str">
        <x:v>P-22</x:v>
      </x:c>
      <x:c r="B46" s="12" t="n">
        <x:v>3</x:v>
      </x:c>
      <x:c r="C46" s="12" t="str">
        <x:v>Email:6</x:v>
      </x:c>
      <x:c r="D46" s="12" t="str">
        <x:v>Email</x:v>
      </x:c>
      <x:c r="E46" s="12" t="n">
        <x:v>6</x:v>
      </x:c>
      <x:c r="F46" s="12" t="str">
        <x:v>found</x:v>
      </x:c>
      <x:c r="G46" s="12" t="str">
        <x:v>available</x:v>
      </x:c>
      <x:c r="H46" s="17" t="n">
        <x:v>42629.93409722222</x:v>
      </x:c>
      <x:c r="I46" s="12" t="str">
        <x:v>Re: Visite</x:v>
      </x:c>
      <x:c r="J46" s="12" t="str">
        <x:v>piece_thread-6_reconstruction email-6/8/295/306</x:v>
      </x:c>
    </x:row>
    <x:row r="47">
      <x:c r="A47" s="12" t="str">
        <x:v>P-22</x:v>
      </x:c>
      <x:c r="B47" s="12" t="n">
        <x:v>4</x:v>
      </x:c>
      <x:c r="C47" s="12" t="str">
        <x:v>Email:8</x:v>
      </x:c>
      <x:c r="D47" s="12" t="str">
        <x:v>Email</x:v>
      </x:c>
      <x:c r="E47" s="12" t="n">
        <x:v>8</x:v>
      </x:c>
      <x:c r="F47" s="12" t="str">
        <x:v>found</x:v>
      </x:c>
      <x:c r="G47" s="12" t="str">
        <x:v>available</x:v>
      </x:c>
      <x:c r="H47" s="17" t="n">
        <x:v>42629.83833333333</x:v>
      </x:c>
      <x:c r="I47" s="12" t="str">
        <x:v>Re: Visite</x:v>
      </x:c>
      <x:c r="J47" s="12" t="str">
        <x:v>piece_thread-6_reconstruction email-6/8/295/306</x:v>
      </x:c>
    </x:row>
    <x:row r="48">
      <x:c r="A48" s="12" t="str">
        <x:v>P-22</x:v>
      </x:c>
      <x:c r="B48" s="12" t="n">
        <x:v>5</x:v>
      </x:c>
      <x:c r="C48" s="12" t="str">
        <x:v>EmailThread:6</x:v>
      </x:c>
      <x:c r="D48" s="12" t="str">
        <x:v>EmailThread</x:v>
      </x:c>
      <x:c r="E48" s="12" t="n">
        <x:v>6</x:v>
      </x:c>
      <x:c r="F48" s="12" t="str">
        <x:v>found</x:v>
      </x:c>
      <x:c r="G48" s="12" t="str">
        <x:v>all_available</x:v>
      </x:c>
      <x:c r="H48" s="17" t="n">
        <x:v>42629.56984953704</x:v>
      </x:c>
      <x:c r="I48" s="12" t="str">
        <x:v>Re: Visite</x:v>
      </x:c>
      <x:c r="J48" s="12" t="str">
        <x:v>piece_thread-6_reconstruction email-6/8/295/306</x:v>
      </x:c>
    </x:row>
    <x:row r="49">
      <x:c r="A49" s="12" t="str">
        <x:v>P-23</x:v>
      </x:c>
      <x:c r="B49" s="12" t="n">
        <x:v>1</x:v>
      </x:c>
      <x:c r="C49" s="12" t="str">
        <x:v>Email:5</x:v>
      </x:c>
      <x:c r="D49" s="12" t="str">
        <x:v>Email</x:v>
      </x:c>
      <x:c r="E49" s="12" t="n">
        <x:v>5</x:v>
      </x:c>
      <x:c r="F49" s="12" t="str">
        <x:v>found</x:v>
      </x:c>
      <x:c r="G49" s="12" t="str">
        <x:v>available</x:v>
      </x:c>
      <x:c r="H49" s="17" t="n">
        <x:v>42639.802349537036</x:v>
      </x:c>
      <x:c r="I49" s="12" t="str">
        <x:v>Re: dimanche prochain</x:v>
      </x:c>
      <x:c r="J49" s="12" t="str">
        <x:v>piece_thread-5_email-5</x:v>
      </x:c>
    </x:row>
    <x:row r="50">
      <x:c r="A50" s="12" t="str">
        <x:v>P-24</x:v>
      </x:c>
      <x:c r="B50" s="12" t="n">
        <x:v>1</x:v>
      </x:c>
      <x:c r="C50" s="12" t="str">
        <x:v>EmailThread:111</x:v>
      </x:c>
      <x:c r="D50" s="12" t="str">
        <x:v>EmailThread</x:v>
      </x:c>
      <x:c r="E50" s="12" t="n">
        <x:v>111</x:v>
      </x:c>
      <x:c r="F50" s="12" t="str">
        <x:v>found</x:v>
      </x:c>
      <x:c r="G50" s="12" t="str">
        <x:v>all_available</x:v>
      </x:c>
      <x:c r="H50" s="17" t="n">
        <x:v>43257.720821759256</x:v>
      </x:c>
      <x:c r="I50" s="12" t="str">
        <x:v>Fin d'emplois</x:v>
      </x:c>
      <x:c r="J50" s="12" t="str">
        <x:v>piece_thread-111_congediement_bnc</x:v>
      </x:c>
    </x:row>
    <x:row r="51">
      <x:c r="A51" s="12" t="str">
        <x:v>P-25</x:v>
      </x:c>
      <x:c r="B51" s="12" t="n">
        <x:v>1</x:v>
      </x:c>
      <x:c r="C51" s="12" t="str">
        <x:v>Email:484</x:v>
      </x:c>
      <x:c r="D51" s="12" t="str">
        <x:v>Email</x:v>
      </x:c>
      <x:c r="E51" s="12" t="n">
        <x:v>484</x:v>
      </x:c>
      <x:c r="F51" s="12" t="str">
        <x:v>found</x:v>
      </x:c>
      <x:c r="G51" s="12" t="str">
        <x:v>available</x:v>
      </x:c>
      <x:c r="H51" s="17" t="n">
        <x:v>43622.714537037034</x:v>
      </x:c>
      <x:c r="I51" s="12" t="str">
        <x:v>pension</x:v>
      </x:c>
      <x:c r="J51" s="12" t="str">
        <x:v>piece_thread-119_email-484</x:v>
      </x:c>
    </x:row>
    <x:row r="52">
      <x:c r="A52" s="12" t="str">
        <x:v>P-26</x:v>
      </x:c>
      <x:c r="B52" s="12" t="n">
        <x:v>1</x:v>
      </x:c>
      <x:c r="C52" s="12" t="str">
        <x:v>PDFDocument:15</x:v>
      </x:c>
      <x:c r="D52" s="12" t="str">
        <x:v>PDFDocument</x:v>
      </x:c>
      <x:c r="E52" s="12" t="n">
        <x:v>15</x:v>
      </x:c>
      <x:c r="F52" s="12" t="str">
        <x:v>found</x:v>
      </x:c>
      <x:c r="G52" s="12" t="str">
        <x:v>available</x:v>
      </x:c>
      <x:c r="H52" s="17" t="str">
        <x:v>2019-09-27</x:v>
      </x:c>
      <x:c r="I52" s="12" t="str">
        <x:v>Jugement Intérimaire</x:v>
      </x:c>
      <x:c r="J52" s="12" t="str">
        <x:v>piece_pdf-15</x:v>
      </x:c>
    </x:row>
    <x:row r="53">
      <x:c r="A53" s="12" t="str">
        <x:v>P-27</x:v>
      </x:c>
      <x:c r="B53" s="12" t="n">
        <x:v>1</x:v>
      </x:c>
      <x:c r="C53" s="12" t="str">
        <x:v>Email:615</x:v>
      </x:c>
      <x:c r="D53" s="12" t="str">
        <x:v>Email</x:v>
      </x:c>
      <x:c r="E53" s="12" t="n">
        <x:v>615</x:v>
      </x:c>
      <x:c r="F53" s="12" t="str">
        <x:v>found</x:v>
      </x:c>
      <x:c r="G53" s="12" t="str">
        <x:v>available</x:v>
      </x:c>
      <x:c r="H53" s="17" t="n">
        <x:v>43753.85290509259</x:v>
      </x:c>
      <x:c r="I53" s="12" t="str">
        <x:v>Re: demandes d'emplois</x:v>
      </x:c>
      <x:c r="J53" s="12" t="str">
        <x:v>piece_thread-156_email-615</x:v>
      </x:c>
    </x:row>
    <x:row r="54">
      <x:c r="A54" s="12" t="str">
        <x:v>P-28</x:v>
      </x:c>
      <x:c r="B54" s="12" t="n">
        <x:v>1</x:v>
      </x:c>
      <x:c r="C54" s="12" t="str">
        <x:v>PhotoDocument:17</x:v>
      </x:c>
      <x:c r="D54" s="12" t="str">
        <x:v>PhotoDocument</x:v>
      </x:c>
      <x:c r="E54" s="12" t="n">
        <x:v>17</x:v>
      </x:c>
      <x:c r="F54" s="12" t="str">
        <x:v>found</x:v>
      </x:c>
      <x:c r="G54" s="12" t="str">
        <x:v>all_available</x:v>
      </x:c>
      <x:c r="H54" s="17" t="n">
        <x:v>43830.71041666667</x:v>
      </x:c>
      <x:c r="I54" s="12" t="str">
        <x:v>Déclaration revenus 2019</x:v>
      </x:c>
      <x:c r="J54" s="12" t="str">
        <x:v>piece_photodoc-17</x:v>
      </x:c>
    </x:row>
    <x:row r="55">
      <x:c r="A55" s="12" t="str">
        <x:v>P-29</x:v>
      </x:c>
      <x:c r="B55" s="12" t="n">
        <x:v>1</x:v>
      </x:c>
      <x:c r="C55" s="12" t="str">
        <x:v>PDFDocument:16</x:v>
      </x:c>
      <x:c r="D55" s="12" t="str">
        <x:v>PDFDocument</x:v>
      </x:c>
      <x:c r="E55" s="12" t="n">
        <x:v>16</x:v>
      </x:c>
      <x:c r="F55" s="12" t="str">
        <x:v>found</x:v>
      </x:c>
      <x:c r="G55" s="12" t="str">
        <x:v>available</x:v>
      </x:c>
      <x:c r="H55" s="17" t="str">
        <x:v>2019-10-21</x:v>
      </x:c>
      <x:c r="I55" s="12" t="str">
        <x:v>Formulaire de pension alimentaire Jugement sur le fond</x:v>
      </x:c>
      <x:c r="J55" s="12" t="str">
        <x:v>piece_pdf-16</x:v>
      </x:c>
    </x:row>
    <x:row r="56">
      <x:c r="A56" s="12" t="str">
        <x:v>P-30</x:v>
      </x:c>
      <x:c r="B56" s="12" t="n">
        <x:v>1</x:v>
      </x:c>
      <x:c r="C56" s="12" t="str">
        <x:v>Email:485</x:v>
      </x:c>
      <x:c r="D56" s="12" t="str">
        <x:v>Email</x:v>
      </x:c>
      <x:c r="E56" s="12" t="n">
        <x:v>485</x:v>
      </x:c>
      <x:c r="F56" s="12" t="str">
        <x:v>found</x:v>
      </x:c>
      <x:c r="G56" s="12" t="str">
        <x:v>available</x:v>
      </x:c>
      <x:c r="H56" s="17" t="n">
        <x:v>43759.78241898148</x:v>
      </x:c>
      <x:c r="I56" s="12" t="str">
        <x:v>Frais médicaux impayé (point 7)</x:v>
      </x:c>
      <x:c r="J56" s="12" t="str">
        <x:v>piece_thread-120_email-485 ; piece_thread-121_email-486</x:v>
      </x:c>
    </x:row>
    <x:row r="57">
      <x:c r="A57" s="12" t="str">
        <x:v>P-30</x:v>
      </x:c>
      <x:c r="B57" s="12" t="n">
        <x:v>2</x:v>
      </x:c>
      <x:c r="C57" s="12" t="str">
        <x:v>Email:486</x:v>
      </x:c>
      <x:c r="D57" s="12" t="str">
        <x:v>Email</x:v>
      </x:c>
      <x:c r="E57" s="12" t="n">
        <x:v>486</x:v>
      </x:c>
      <x:c r="F57" s="12" t="str">
        <x:v>found_outside_union_audit</x:v>
      </x:c>
      <x:c r="G57" s="12" t="str">
        <x:v>available</x:v>
      </x:c>
      <x:c r="H57" s="17" t="n">
        <x:v>43759.796956018516</x:v>
      </x:c>
      <x:c r="I57" s="12" t="str">
        <x:v>refus de prendre les enfants les jours de congé (point 6.C)</x:v>
      </x:c>
      <x:c r="J57" s="12" t="str">
        <x:v>piece_thread-120_email-485 ; piece_thread-121_email-486</x:v>
      </x:c>
    </x:row>
    <x:row r="58">
      <x:c r="A58" s="12" t="str">
        <x:v>P-31</x:v>
      </x:c>
      <x:c r="B58" s="12" t="n">
        <x:v>1</x:v>
      </x:c>
      <x:c r="C58" s="12" t="str">
        <x:v>Email:642</x:v>
      </x:c>
      <x:c r="D58" s="12" t="str">
        <x:v>Email</x:v>
      </x:c>
      <x:c r="E58" s="12" t="n">
        <x:v>642</x:v>
      </x:c>
      <x:c r="F58" s="12" t="str">
        <x:v>found</x:v>
      </x:c>
      <x:c r="G58" s="12" t="str">
        <x:v>available</x:v>
      </x:c>
      <x:c r="H58" s="17" t="n">
        <x:v>43759.605787037035</x:v>
      </x:c>
      <x:c r="I58" s="12" t="str">
        <x:v>Fwd:</x:v>
      </x:c>
      <x:c r="J58" s="12" t="str">
        <x:v>piece_thread-160_email-642</x:v>
      </x:c>
    </x:row>
    <x:row r="59">
      <x:c r="A59" s="12" t="str">
        <x:v>P-32</x:v>
      </x:c>
      <x:c r="B59" s="12" t="n">
        <x:v>1</x:v>
      </x:c>
      <x:c r="C59" s="12" t="str">
        <x:v>PDFDocument:81</x:v>
      </x:c>
      <x:c r="D59" s="12" t="str">
        <x:v>PDFDocument</x:v>
      </x:c>
      <x:c r="E59" s="12" t="n">
        <x:v>81</x:v>
      </x:c>
      <x:c r="F59" s="12" t="str">
        <x:v>found</x:v>
      </x:c>
      <x:c r="G59" s="12" t="str">
        <x:v>available</x:v>
      </x:c>
      <x:c r="H59" s="17" t="str">
        <x:v>2019-01-01</x:v>
      </x:c>
      <x:c r="I59" s="12" t="str">
        <x:v>Etat de compte pension alimentaire</x:v>
      </x:c>
      <x:c r="J59" s="12" t="str">
        <x:v>piece_pdf-81</x:v>
      </x:c>
    </x:row>
    <x:row r="60">
      <x:c r="A60" s="12" t="str">
        <x:v>P-33</x:v>
      </x:c>
      <x:c r="B60" s="12" t="n">
        <x:v>1</x:v>
      </x:c>
      <x:c r="C60" s="12" t="str">
        <x:v>PDFDocument:82</x:v>
      </x:c>
      <x:c r="D60" s="12" t="str">
        <x:v>PDFDocument</x:v>
      </x:c>
      <x:c r="E60" s="12" t="n">
        <x:v>82</x:v>
      </x:c>
      <x:c r="F60" s="12" t="str">
        <x:v>found</x:v>
      </x:c>
      <x:c r="G60" s="12" t="str">
        <x:v>available</x:v>
      </x:c>
      <x:c r="H60" s="17" t="str">
        <x:v>2019-11-04</x:v>
      </x:c>
      <x:c r="I60" s="12" t="str">
        <x:v>formulaire pension alimentaire père</x:v>
      </x:c>
      <x:c r="J60" s="12" t="str">
        <x:v>piece_pdf-82</x:v>
      </x:c>
    </x:row>
    <x:row r="61">
      <x:c r="A61" s="12" t="str">
        <x:v>P-34</x:v>
      </x:c>
      <x:c r="B61" s="12" t="n">
        <x:v>1</x:v>
      </x:c>
      <x:c r="C61" s="12" t="str">
        <x:v>PDFDocument:13</x:v>
      </x:c>
      <x:c r="D61" s="12" t="str">
        <x:v>PDFDocument</x:v>
      </x:c>
      <x:c r="E61" s="12" t="n">
        <x:v>13</x:v>
      </x:c>
      <x:c r="F61" s="12" t="str">
        <x:v>found</x:v>
      </x:c>
      <x:c r="G61" s="12" t="str">
        <x:v>available</x:v>
      </x:c>
      <x:c r="H61" s="17" t="str">
        <x:v>2019-11-04</x:v>
      </x:c>
      <x:c r="I61" s="12" t="str">
        <x:v>Jugement sur le fond (perte emplois)</x:v>
      </x:c>
      <x:c r="J61" s="12" t="str">
        <x:v>piece_pdf-13</x:v>
      </x:c>
    </x:row>
    <x:row r="62">
      <x:c r="A62" s="12" t="str">
        <x:v>P-35</x:v>
      </x:c>
      <x:c r="B62" s="12" t="n">
        <x:v>1</x:v>
      </x:c>
      <x:c r="C62" s="12" t="str">
        <x:v>PDFDocument:35</x:v>
      </x:c>
      <x:c r="D62" s="12" t="str">
        <x:v>PDFDocument</x:v>
      </x:c>
      <x:c r="E62" s="12" t="n">
        <x:v>35</x:v>
      </x:c>
      <x:c r="F62" s="12" t="str">
        <x:v>found</x:v>
      </x:c>
      <x:c r="G62" s="12" t="str">
        <x:v>available</x:v>
      </x:c>
      <x:c r="H62" s="17" t="str">
        <x:v>2018-12-30</x:v>
      </x:c>
      <x:c r="I62" s="12" t="str">
        <x:v>Avis de cotisation 2018</x:v>
      </x:c>
      <x:c r="J62" s="12" t="str">
        <x:v>piece_pdf-35  doublon : piece_avis_cotisation_pere_2018</x:v>
      </x:c>
    </x:row>
    <x:row r="63">
      <x:c r="A63" s="12" t="str">
        <x:v>P-36</x:v>
      </x:c>
      <x:c r="B63" s="12" t="n">
        <x:v>1</x:v>
      </x:c>
      <x:c r="C63" s="12" t="str">
        <x:v>PDFDocument:30</x:v>
      </x:c>
      <x:c r="D63" s="12" t="str">
        <x:v>PDFDocument</x:v>
      </x:c>
      <x:c r="E63" s="12" t="n">
        <x:v>30</x:v>
      </x:c>
      <x:c r="F63" s="12" t="str">
        <x:v>found</x:v>
      </x:c>
      <x:c r="G63" s="12" t="str">
        <x:v>available</x:v>
      </x:c>
      <x:c r="H63" s="17" t="str">
        <x:v>2019-12-01</x:v>
      </x:c>
      <x:c r="I63" s="12" t="str">
        <x:v>Avis de cotisation 2019</x:v>
      </x:c>
      <x:c r="J63" s="12" t="str">
        <x:v>piece_pdf-30  doublon : piece_avis_cotisation_pere_2019</x:v>
      </x:c>
    </x:row>
    <x:row r="64">
      <x:c r="A64" s="12" t="str">
        <x:v>P-37</x:v>
      </x:c>
      <x:c r="B64" s="12" t="n">
        <x:v>1</x:v>
      </x:c>
      <x:c r="C64" s="12" t="str">
        <x:v>Email:462</x:v>
      </x:c>
      <x:c r="D64" s="12" t="str">
        <x:v>Email</x:v>
      </x:c>
      <x:c r="E64" s="12" t="n">
        <x:v>462</x:v>
      </x:c>
      <x:c r="F64" s="12" t="str">
        <x:v>found</x:v>
      </x:c>
      <x:c r="G64" s="12" t="str">
        <x:v>available</x:v>
      </x:c>
      <x:c r="H64" s="17" t="n">
        <x:v>43878.74532407407</x:v>
      </x:c>
      <x:c r="I64" s="12" t="str">
        <x:v>Salut</x:v>
      </x:c>
      <x:c r="J64" s="12" t="str">
        <x:v>piece_thread-113_email-462</x:v>
      </x:c>
    </x:row>
    <x:row r="65">
      <x:c r="A65" s="12" t="str">
        <x:v>P-38</x:v>
      </x:c>
      <x:c r="B65" s="12" t="n">
        <x:v>1</x:v>
      </x:c>
      <x:c r="C65" s="12" t="str">
        <x:v>Email:330</x:v>
      </x:c>
      <x:c r="D65" s="12" t="str">
        <x:v>Email</x:v>
      </x:c>
      <x:c r="E65" s="12" t="n">
        <x:v>330</x:v>
      </x:c>
      <x:c r="F65" s="12" t="str">
        <x:v>found</x:v>
      </x:c>
      <x:c r="G65" s="12" t="str">
        <x:v>available</x:v>
      </x:c>
      <x:c r="H65" s="17" t="n">
        <x:v>43938.818078703705</x:v>
      </x:c>
      <x:c r="I65" s="12" t="str">
        <x:v>suite des choses</x:v>
      </x:c>
      <x:c r="J65" s="12" t="str">
        <x:v>piece_thread-4_email-330</x:v>
      </x:c>
    </x:row>
    <x:row r="66">
      <x:c r="A66" s="12" t="str">
        <x:v>P-39</x:v>
      </x:c>
      <x:c r="B66" s="12" t="n">
        <x:v>1</x:v>
      </x:c>
      <x:c r="C66" s="12" t="str">
        <x:v>Email:3</x:v>
      </x:c>
      <x:c r="D66" s="12" t="str">
        <x:v>Email</x:v>
      </x:c>
      <x:c r="E66" s="12" t="n">
        <x:v>3</x:v>
      </x:c>
      <x:c r="F66" s="12" t="str">
        <x:v>found</x:v>
      </x:c>
      <x:c r="G66" s="12" t="str">
        <x:v>available</x:v>
      </x:c>
      <x:c r="H66" s="17" t="n">
        <x:v>44004.75408564815</x:v>
      </x:c>
      <x:c r="I66" s="12" t="str">
        <x:v>emplois</x:v>
      </x:c>
      <x:c r="J66" s="12" t="str">
        <x:v>piece_thread-3_email-3</x:v>
      </x:c>
    </x:row>
    <x:row r="67">
      <x:c r="A67" s="12" t="str">
        <x:v>P-40</x:v>
      </x:c>
      <x:c r="B67" s="12" t="n">
        <x:v>1</x:v>
      </x:c>
      <x:c r="C67" s="12" t="str">
        <x:v>Document:2</x:v>
      </x:c>
      <x:c r="D67" s="12" t="str">
        <x:v>Document</x:v>
      </x:c>
      <x:c r="E67" s="12" t="n">
        <x:v>2</x:v>
      </x:c>
      <x:c r="F67" s="12" t="str">
        <x:v>found</x:v>
      </x:c>
      <x:c r="G67" s="12" t="str">
        <x:v>available</x:v>
      </x:c>
      <x:c r="H67" s="17" t="str">
        <x:v>2023-07-21</x:v>
      </x:c>
      <x:c r="I67" s="12" t="str">
        <x:v>DÉNONCIATION DE LA DÉFENDERESSE D'UN MOYEN DÉCLINATOIRE</x:v>
      </x:c>
      <x:c r="J67" s="12" t="str">
        <x:v>piece_denonciation_declinatoire_2023</x:v>
      </x:c>
    </x:row>
    <x:row r="68">
      <x:c r="A68" s="12" t="str">
        <x:v>P-41</x:v>
      </x:c>
      <x:c r="B68" s="12" t="n">
        <x:v>1</x:v>
      </x:c>
      <x:c r="C68" s="12" t="str">
        <x:v>Email:633</x:v>
      </x:c>
      <x:c r="D68" s="12" t="str">
        <x:v>Email</x:v>
      </x:c>
      <x:c r="E68" s="12" t="n">
        <x:v>633</x:v>
      </x:c>
      <x:c r="F68" s="12" t="str">
        <x:v>found</x:v>
      </x:c>
      <x:c r="G68" s="12" t="str">
        <x:v>available</x:v>
      </x:c>
      <x:c r="H68" s="17" t="n">
        <x:v>46205.59537037037</x:v>
      </x:c>
      <x:c r="I68" s="12" t="str">
        <x:v>Re: certificat</x:v>
      </x:c>
      <x:c r="J68" s="12" t="str">
        <x:v>piece_thread-158_email-633</x:v>
      </x:c>
    </x:row>
    <x:row r="69">
      <x:c r="A69" s="14" t="str">
        <x:v>P-42</x:v>
      </x:c>
      <x:c r="B69" s="14" t="n">
        <x:v>1</x:v>
      </x:c>
      <x:c r="C69" s="14" t="str">
        <x:v>Document:3</x:v>
      </x:c>
      <x:c r="D69" s="14" t="str">
        <x:v>Document</x:v>
      </x:c>
      <x:c r="E69" s="14" t="n">
        <x:v>3</x:v>
      </x:c>
      <x:c r="F69" s="14" t="str">
        <x:v>found</x:v>
      </x:c>
      <x:c r="G69" s="14" t="str">
        <x:v>available</x:v>
      </x:c>
      <x:c r="H69" s="18" t="str">
        <x:v>2019-10-21</x:v>
      </x:c>
      <x:c r="I69" s="14" t="str">
        <x:v>DÉCLARATION ASSERMENTÉE DE LA DEMANDERESSE</x:v>
      </x:c>
      <x:c r="J69" s="14" t="str">
        <x:v>piece_document-3</x:v>
      </x:c>
    </x:row>
  </x:sheetData>
  <x:mergeCells>
    <x:mergeCell ref="A1:J1"/>
  </x:mergeCells>
  <x:pageMargins left="0.7" right="0.7" top="0.75" bottom="0.75" header="0.3" footer="0.3"/>
  <x:tableParts count="1">
    <x:tablePart xmlns:r="http://schemas.openxmlformats.org/officeDocument/2006/relationships" r:id="Re29cd025bea14f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12" hidden="0" customWidth="1"/>
    <x:col min="4" max="4" width="38" hidden="0" customWidth="1"/>
  </x:cols>
  <x:sheetData>
    <x:row r="1" ht="28" customHeight="1">
      <x:c r="A1" s="2" t="str">
        <x:v>Conflits</x:v>
      </x:c>
      <x:c r="B1" s="2" t="str">
        <x:v>Conflits</x:v>
      </x:c>
      <x:c r="C1" s="2" t="str">
        <x:v>Conflits</x:v>
      </x:c>
      <x:c r="D1" s="2" t="str">
        <x:v>Conflits</x:v>
      </x:c>
    </x:row>
    <x:row r="3" ht="30" customHeight="1">
      <x:c r="A3" s="4" t="str">
        <x:v>Clé canonique</x:v>
      </x:c>
      <x:c r="B3" s="4" t="str">
        <x:v>Cotes proposées</x:v>
      </x:c>
      <x:c r="C3" s="4" t="str">
        <x:v>Nombre</x:v>
      </x:c>
      <x:c r="D3" s="4" t="str">
        <x:v>État</x:v>
      </x:c>
    </x:row>
  </x:sheetData>
  <x:mergeCells>
    <x:mergeCell ref="A1:D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2" hidden="0" customWidth="1"/>
    <x:col min="4" max="4" width="75" hidden="0" customWidth="1"/>
    <x:col min="5" max="5" width="70" hidden="0" customWidth="1"/>
  </x:cols>
  <x:sheetData>
    <x:row r="1" ht="28" customHeight="1">
      <x:c r="A1" s="2" t="str">
        <x:v>Alias historiques</x:v>
      </x:c>
      <x:c r="B1" s="2" t="str">
        <x:v>Alias historiques</x:v>
      </x:c>
      <x:c r="C1" s="2" t="str">
        <x:v>Alias historiques</x:v>
      </x:c>
      <x:c r="D1" s="2" t="str">
        <x:v>Alias historiques</x:v>
      </x:c>
      <x:c r="E1" s="2" t="str">
        <x:v>Alias historiques</x:v>
      </x:c>
    </x:row>
    <x:row r="3" ht="30" customHeight="1">
      <x:c r="A3" s="4" t="str">
        <x:v>Alias historique</x:v>
      </x:c>
      <x:c r="B3" s="4" t="str">
        <x:v>État</x:v>
      </x:c>
      <x:c r="C3" s="4" t="str">
        <x:v>Candidats</x:v>
      </x:c>
      <x:c r="D3" s="4" t="str">
        <x:v>Candidats canoniques</x:v>
      </x:c>
      <x:c r="E3" s="4" t="str">
        <x:v>Sources</x:v>
      </x:c>
    </x:row>
    <x:row r="4">
      <x:c r="A4" s="10" t="str">
        <x:v>P-1</x:v>
      </x:c>
      <x:c r="B4" s="10" t="str">
        <x:v>resolved</x:v>
      </x:c>
      <x:c r="C4" s="10" t="n">
        <x:v>1</x:v>
      </x:c>
      <x:c r="D4" s="10" t="str">
        <x:v>PDFDocument:1</x:v>
      </x:c>
      <x:c r="E4" s="10" t="str">
        <x:v>2015_par_18.md:line:20 | 2015_par_20.md:line:20 | 2019_par_3.md:line:19 | 2023_par_7_8.md:line:36 | consolidation_pieces_par14-17_2015.xlsx:sheet:Inventaire;row:14 | inventaire_union_paragraphe7_revise_axes.xlsx:sheet:Union probatoire;row:7 | inventaire_union_paragraphe_9.xlsx:sheet:Inventaire principal;row:6 | rapport_union_pieces_par14-17_2015.md:line:22 | union_exhaustive_pieces_paragraphes_4-5-6.xlsx:sheet:Union principale;row:14 | union_exhaustive_pieces_paragraphes_4-5-6.xlsx:sheet:Union principale;row:201 | union_pieces_par14-17_2015.csv:row:11</x:v>
      </x:c>
    </x:row>
    <x:row r="5">
      <x:c r="A5" s="12" t="str">
        <x:v>P-2</x:v>
      </x:c>
      <x:c r="B5" s="12" t="str">
        <x:v>ambiguous</x:v>
      </x:c>
      <x:c r="C5" s="12" t="n">
        <x:v>2</x:v>
      </x:c>
      <x:c r="D5" s="12" t="str">
        <x:v>Document:1 | Photo:4526</x:v>
      </x:c>
      <x:c r="E5" s="12" t="str">
        <x:v>2015_par_18.md:line:24 | 2019_par_3.md:line:24 | 2019_par_3.md:line:35 | 2023_par_7_8.md:line:27</x:v>
      </x:c>
    </x:row>
    <x:row r="6">
      <x:c r="A6" s="12" t="str">
        <x:v>P-3</x:v>
      </x:c>
      <x:c r="B6" s="12" t="str">
        <x:v>resolved</x:v>
      </x:c>
      <x:c r="C6" s="12" t="n">
        <x:v>1</x:v>
      </x:c>
      <x:c r="D6" s="12" t="str">
        <x:v>PDFDocument:3</x:v>
      </x:c>
      <x:c r="E6" s="12" t="str">
        <x:v>2015_par_18.md:line:22 | 2015_par_18.md:line:26 | 2015_par_20.md:line:25 | 2019_par_3.md:line:25 | consolidation_pieces_par14-17_2015.xlsx:sheet:Inventaire;row:7 | rapport_union_pieces_par14-17_2015.md:line:15 | union_pieces_par14-17_2015.csv:row:4</x:v>
      </x:c>
    </x:row>
    <x:row r="7">
      <x:c r="A7" s="12" t="str">
        <x:v>P-4</x:v>
      </x:c>
      <x:c r="B7" s="12" t="str">
        <x:v>ambiguous</x:v>
      </x:c>
      <x:c r="C7" s="12" t="n">
        <x:v>2</x:v>
      </x:c>
      <x:c r="D7" s="12" t="str">
        <x:v>Document:1 | Photo:4551</x:v>
      </x:c>
      <x:c r="E7" s="12" t="str">
        <x:v>2015_par_28_29.md:line:26 | 2015_par_28_29.md:line:28 | 2019_par_3.md:line:35 | 2019_par_3.md:line:36</x:v>
      </x:c>
    </x:row>
    <x:row r="8">
      <x:c r="A8" s="12" t="str">
        <x:v>P-5</x:v>
      </x:c>
      <x:c r="B8" s="12" t="str">
        <x:v>ambiguous</x:v>
      </x:c>
      <x:c r="C8" s="12" t="n">
        <x:v>3</x:v>
      </x:c>
      <x:c r="D8" s="12" t="str">
        <x:v>Document:1 | PDFDocument:5 | PhotoDocument:13</x:v>
      </x:c>
      <x:c r="E8" s="12" t="str">
        <x:v>2019_par_3.md:line:31 | 2019_par_3.md:line:32 | 2019_par_3.md:line:35</x:v>
      </x:c>
    </x:row>
    <x:row r="9">
      <x:c r="A9" s="12" t="str">
        <x:v>P-6</x:v>
      </x:c>
      <x:c r="B9" s="12" t="str">
        <x:v>ambiguous</x:v>
      </x:c>
      <x:c r="C9" s="12" t="n">
        <x:v>2</x:v>
      </x:c>
      <x:c r="D9" s="12" t="str">
        <x:v>Document:1 | PDFDocument:6</x:v>
      </x:c>
      <x:c r="E9" s="12" t="str">
        <x:v>2015_par_28_29.md:line:27 | 2019_par_3.md:line:33 | 2019_par_7.md:line:25 | inventaire_union_paragraphe7_revise_axes.xlsx:sheet:Union probatoire;row:5</x:v>
      </x:c>
    </x:row>
    <x:row r="10">
      <x:c r="A10" s="12" t="str">
        <x:v>P-7</x:v>
      </x:c>
      <x:c r="B10" s="12" t="str">
        <x:v>resolved</x:v>
      </x:c>
      <x:c r="C10" s="12" t="n">
        <x:v>1</x:v>
      </x:c>
      <x:c r="D10" s="12" t="str">
        <x:v>PDFDocument:7</x:v>
      </x:c>
      <x:c r="E10" s="12" t="str">
        <x:v>2019_par_3.md:line:34</x:v>
      </x:c>
    </x:row>
    <x:row r="11">
      <x:c r="A11" s="12" t="str">
        <x:v>P-8</x:v>
      </x:c>
      <x:c r="B11" s="12" t="str">
        <x:v>ambiguous</x:v>
      </x:c>
      <x:c r="C11" s="12" t="n">
        <x:v>2</x:v>
      </x:c>
      <x:c r="D11" s="12" t="str">
        <x:v>PDFDocument:63 | PDFDocument:64</x:v>
      </x:c>
      <x:c r="E11" s="12" t="str">
        <x:v>2019_par_7.md:line:26 | 2019_par_7.md:line:27</x:v>
      </x:c>
    </x:row>
    <x:row r="12">
      <x:c r="A12" s="12" t="str">
        <x:v>P-22</x:v>
      </x:c>
      <x:c r="B12" s="12" t="str">
        <x:v>unresolved</x:v>
      </x:c>
      <x:c r="C12" s="12" t="n">
        <x:v>0</x:v>
      </x:c>
      <x:c r="D12" s="12" t="str"/>
      <x:c r="E12" s="12" t="str">
        <x:v>inventaire_union_paragraphe7_revise_axes.xlsx:sheet:Union probatoire;row:107</x:v>
      </x:c>
    </x:row>
    <x:row r="13">
      <x:c r="A13" s="12" t="str">
        <x:v>P-35</x:v>
      </x:c>
      <x:c r="B13" s="12" t="str">
        <x:v>resolved</x:v>
      </x:c>
      <x:c r="C13" s="12" t="n">
        <x:v>1</x:v>
      </x:c>
      <x:c r="D13" s="12" t="str">
        <x:v>PDFDocument:35</x:v>
      </x:c>
      <x:c r="E13" s="12" t="str">
        <x:v>inventaire_union_paragraphe7_revise_axes.xlsx:sheet:Union probatoire;row:6 | inventaire_union_paragraphe7_revise_axes.xlsx:sheet:Union probatoire;row:86</x:v>
      </x:c>
    </x:row>
    <x:row r="14">
      <x:c r="A14" s="12" t="str">
        <x:v>P-38</x:v>
      </x:c>
      <x:c r="B14" s="12" t="str">
        <x:v>resolved</x:v>
      </x:c>
      <x:c r="C14" s="12" t="n">
        <x:v>1</x:v>
      </x:c>
      <x:c r="D14" s="12" t="str">
        <x:v>Event:46</x:v>
      </x:c>
      <x:c r="E14" s="12" t="str">
        <x:v>inventaire_union_paragraphe7_revise_axes.xlsx:sheet:Union probatoire;row:108 | inventaire_union_paragraphe7_revise_axes.xlsx:sheet:Union probatoire;row:62</x:v>
      </x:c>
    </x:row>
    <x:row r="15">
      <x:c r="A15" s="12" t="str">
        <x:v>P-42</x:v>
      </x:c>
      <x:c r="B15" s="12" t="str">
        <x:v>resolved</x:v>
      </x:c>
      <x:c r="C15" s="12" t="n">
        <x:v>1</x:v>
      </x:c>
      <x:c r="D15" s="12" t="str">
        <x:v>Event:52</x:v>
      </x:c>
      <x:c r="E15" s="12" t="str">
        <x:v>inventaire_union_paragraphe7_revise_axes.xlsx:sheet:Union probatoire;row:109 | inventaire_union_paragraphe7_revise_axes.xlsx:sheet:Union probatoire;row:63</x:v>
      </x:c>
    </x:row>
    <x:row r="16">
      <x:c r="A16" s="12" t="str">
        <x:v>P-43</x:v>
      </x:c>
      <x:c r="B16" s="12" t="str">
        <x:v>ambiguous</x:v>
      </x:c>
      <x:c r="C16" s="12" t="n">
        <x:v>14</x:v>
      </x:c>
      <x:c r="D16" s="12" t="str">
        <x:v>PDFDocument:45 | PDFDocument:46 | PDFDocument:47 | PDFDocument:48 | PDFDocument:49 | PDFDocument:50 | PDFDocument:51 | PDFDocument:52 | PDFDocument:53 | PDFDocument:54 | PDFDocument:55 | PDFDocument:56 | PDFDocument:57 | PDFDocument:58</x:v>
      </x:c>
      <x:c r="E16" s="12" t="str">
        <x:v>inventaire_union_paragraphe7_revise_axes.xlsx:sheet:Union probatoire;row:100 | inventaire_union_paragraphe7_revise_axes.xlsx:sheet:Union probatoire;row:145 | inventaire_union_paragraphe7_revise_axes.xlsx:sheet:Union probatoire;row:87 | inventaire_union_paragraphe7_revise_axes.xlsx:sheet:Union probatoire;row:88 | inventaire_union_paragraphe7_revise_axes.xlsx:sheet:Union probatoire;row:89 | inventaire_union_paragraphe7_revise_axes.xlsx:sheet:Union probatoire;row:90 | inventaire_union_paragraphe7_revise_axes.xlsx:sheet:Union probatoire;row:91 | inventaire_union_paragraphe7_revise_axes.xlsx:sheet:Union probatoire;row:92 | inventaire_union_paragraphe7_revise_axes.xlsx:sheet:Union probatoire;row:93 | inventaire_union_paragraphe7_revise_axes.xlsx:sheet:Union probatoire;row:94 | inventaire_union_paragraphe7_revise_axes.xlsx:sheet:Union probatoire;row:95 | inventaire_union_paragraphe7_revise_axes.xlsx:sheet:Union probatoire;row:96 | inventaire_union_paragraphe7_revise_axes.xlsx:sheet:Union probatoire;row:97 | inventaire_union_paragraphe7_revise_axes.xlsx:sheet:Union probatoire;row:98 | inventaire_union_paragraphe7_revise_axes.xlsx:sheet:Union probatoire;row:99</x:v>
      </x:c>
    </x:row>
    <x:row r="17">
      <x:c r="A17" s="12" t="str">
        <x:v>P-46</x:v>
      </x:c>
      <x:c r="B17" s="12" t="str">
        <x:v>ambiguous</x:v>
      </x:c>
      <x:c r="C17" s="12" t="n">
        <x:v>2</x:v>
      </x:c>
      <x:c r="D17" s="12" t="str">
        <x:v>Email:68 | Email:69</x:v>
      </x:c>
      <x:c r="E17" s="12" t="str">
        <x:v>inventaire_union_paragraphe7_revise_axes.xlsx:sheet:Union probatoire;row:110 | inventaire_union_paragraphe7_revise_axes.xlsx:sheet:Union probatoire;row:34 | inventaire_union_paragraphe7_revise_axes.xlsx:sheet:Union probatoire;row:35</x:v>
      </x:c>
    </x:row>
    <x:row r="18">
      <x:c r="A18" s="12" t="str">
        <x:v>P-64</x:v>
      </x:c>
      <x:c r="B18" s="12" t="str">
        <x:v>ambiguous</x:v>
      </x:c>
      <x:c r="C18" s="12" t="n">
        <x:v>3</x:v>
      </x:c>
      <x:c r="D18" s="12" t="str">
        <x:v>Email:61 | Email:64 | Event:62</x:v>
      </x:c>
      <x:c r="E18" s="12" t="str">
        <x:v>inventaire_union_paragraphe7_revise_axes.xlsx:sheet:Union probatoire;row:111 | inventaire_union_paragraphe7_revise_axes.xlsx:sheet:Union probatoire;row:30 | inventaire_union_paragraphe7_revise_axes.xlsx:sheet:Union probatoire;row:31 | inventaire_union_paragraphe7_revise_axes.xlsx:sheet:Union probatoire;row:64</x:v>
      </x:c>
    </x:row>
    <x:row r="19">
      <x:c r="A19" s="12" t="str">
        <x:v>P-65</x:v>
      </x:c>
      <x:c r="B19" s="12" t="str">
        <x:v>ambiguous</x:v>
      </x:c>
      <x:c r="C19" s="12" t="n">
        <x:v>3</x:v>
      </x:c>
      <x:c r="D19" s="12" t="str">
        <x:v>Email:61 | Email:64 | Event:62</x:v>
      </x:c>
      <x:c r="E19" s="12" t="str">
        <x:v>inventaire_union_paragraphe7_revise_axes.xlsx:sheet:Union probatoire;row:112 | inventaire_union_paragraphe7_revise_axes.xlsx:sheet:Union probatoire;row:30 | inventaire_union_paragraphe7_revise_axes.xlsx:sheet:Union probatoire;row:31 | inventaire_union_paragraphe7_revise_axes.xlsx:sheet:Union probatoire;row:64</x:v>
      </x:c>
    </x:row>
    <x:row r="20">
      <x:c r="A20" s="12" t="str">
        <x:v>P-93</x:v>
      </x:c>
      <x:c r="B20" s="12" t="str">
        <x:v>resolved</x:v>
      </x:c>
      <x:c r="C20" s="12" t="n">
        <x:v>1</x:v>
      </x:c>
      <x:c r="D20" s="12" t="str">
        <x:v>Email:59</x:v>
      </x:c>
      <x:c r="E20" s="12" t="str">
        <x:v>consolidation_pieces_par14-17_2015.xlsx:sheet:Inventaire;row:26 | inventaire_union_paragraphe7_revise_axes.xlsx:sheet:Union probatoire;row:113 | inventaire_union_paragraphe7_revise_axes.xlsx:sheet:Union probatoire;row:28 | rapport_union_pieces_par14-17_2015.md:line:34 | union_pieces_par14-17_2015.csv:row:23</x:v>
      </x:c>
    </x:row>
    <x:row r="21">
      <x:c r="A21" s="12" t="str">
        <x:v>P-104</x:v>
      </x:c>
      <x:c r="B21" s="12" t="str">
        <x:v>unresolved</x:v>
      </x:c>
      <x:c r="C21" s="12" t="n">
        <x:v>0</x:v>
      </x:c>
      <x:c r="D21" s="12" t="str"/>
      <x:c r="E21" s="12" t="str">
        <x:v>inventaire_union_paragraphe7_revise_axes.xlsx:sheet:Union probatoire;row:114</x:v>
      </x:c>
    </x:row>
    <x:row r="22">
      <x:c r="A22" s="12" t="str">
        <x:v>P-105</x:v>
      </x:c>
      <x:c r="B22" s="12" t="str">
        <x:v>unresolved</x:v>
      </x:c>
      <x:c r="C22" s="12" t="n">
        <x:v>0</x:v>
      </x:c>
      <x:c r="D22" s="12" t="str"/>
      <x:c r="E22" s="12" t="str">
        <x:v>inventaire_union_paragraphe7_revise_axes.xlsx:sheet:Union probatoire;row:115</x:v>
      </x:c>
    </x:row>
    <x:row r="23">
      <x:c r="A23" s="12" t="str">
        <x:v>P-106</x:v>
      </x:c>
      <x:c r="B23" s="12" t="str">
        <x:v>unresolved</x:v>
      </x:c>
      <x:c r="C23" s="12" t="n">
        <x:v>0</x:v>
      </x:c>
      <x:c r="D23" s="12" t="str"/>
      <x:c r="E23" s="12" t="str">
        <x:v>inventaire_union_paragraphe7_revise_axes.xlsx:sheet:Union probatoire;row:116</x:v>
      </x:c>
    </x:row>
    <x:row r="24">
      <x:c r="A24" s="12" t="str">
        <x:v>P-107</x:v>
      </x:c>
      <x:c r="B24" s="12" t="str">
        <x:v>unresolved</x:v>
      </x:c>
      <x:c r="C24" s="12" t="n">
        <x:v>0</x:v>
      </x:c>
      <x:c r="D24" s="12" t="str"/>
      <x:c r="E24" s="12" t="str">
        <x:v>inventaire_union_paragraphe7_revise_axes.xlsx:sheet:Union probatoire;row:117</x:v>
      </x:c>
    </x:row>
    <x:row r="25">
      <x:c r="A25" s="12" t="str">
        <x:v>P-108</x:v>
      </x:c>
      <x:c r="B25" s="12" t="str">
        <x:v>unresolved</x:v>
      </x:c>
      <x:c r="C25" s="12" t="n">
        <x:v>0</x:v>
      </x:c>
      <x:c r="D25" s="12" t="str"/>
      <x:c r="E25" s="12" t="str">
        <x:v>inventaire_union_paragraphe7_revise_axes.xlsx:sheet:Union probatoire;row:118</x:v>
      </x:c>
    </x:row>
    <x:row r="26">
      <x:c r="A26" s="12" t="str">
        <x:v>P-109</x:v>
      </x:c>
      <x:c r="B26" s="12" t="str">
        <x:v>unresolved</x:v>
      </x:c>
      <x:c r="C26" s="12" t="n">
        <x:v>0</x:v>
      </x:c>
      <x:c r="D26" s="12" t="str"/>
      <x:c r="E26" s="12" t="str">
        <x:v>inventaire_union_paragraphe7_revise_axes.xlsx:sheet:Union probatoire;row:119</x:v>
      </x:c>
    </x:row>
    <x:row r="27">
      <x:c r="A27" s="12" t="str">
        <x:v>P-110</x:v>
      </x:c>
      <x:c r="B27" s="12" t="str">
        <x:v>unresolved</x:v>
      </x:c>
      <x:c r="C27" s="12" t="n">
        <x:v>0</x:v>
      </x:c>
      <x:c r="D27" s="12" t="str"/>
      <x:c r="E27" s="12" t="str">
        <x:v>inventaire_union_paragraphe7_revise_axes.xlsx:sheet:Union probatoire;row:120</x:v>
      </x:c>
    </x:row>
    <x:row r="28">
      <x:c r="A28" s="12" t="str">
        <x:v>P-111</x:v>
      </x:c>
      <x:c r="B28" s="12" t="str">
        <x:v>unresolved</x:v>
      </x:c>
      <x:c r="C28" s="12" t="n">
        <x:v>0</x:v>
      </x:c>
      <x:c r="D28" s="12" t="str"/>
      <x:c r="E28" s="12" t="str">
        <x:v>inventaire_union_paragraphe7_revise_axes.xlsx:sheet:Union probatoire;row:121</x:v>
      </x:c>
    </x:row>
    <x:row r="29">
      <x:c r="A29" s="12" t="str">
        <x:v>P-112</x:v>
      </x:c>
      <x:c r="B29" s="12" t="str">
        <x:v>unresolved</x:v>
      </x:c>
      <x:c r="C29" s="12" t="n">
        <x:v>0</x:v>
      </x:c>
      <x:c r="D29" s="12" t="str"/>
      <x:c r="E29" s="12" t="str">
        <x:v>inventaire_union_paragraphe7_revise_axes.xlsx:sheet:Union probatoire;row:122</x:v>
      </x:c>
    </x:row>
    <x:row r="30">
      <x:c r="A30" s="12" t="str">
        <x:v>P-113</x:v>
      </x:c>
      <x:c r="B30" s="12" t="str">
        <x:v>unresolved</x:v>
      </x:c>
      <x:c r="C30" s="12" t="n">
        <x:v>0</x:v>
      </x:c>
      <x:c r="D30" s="12" t="str"/>
      <x:c r="E30" s="12" t="str">
        <x:v>inventaire_union_paragraphe7_revise_axes.xlsx:sheet:Union probatoire;row:123</x:v>
      </x:c>
    </x:row>
    <x:row r="31">
      <x:c r="A31" s="12" t="str">
        <x:v>P-116</x:v>
      </x:c>
      <x:c r="B31" s="12" t="str">
        <x:v>ambiguous</x:v>
      </x:c>
      <x:c r="C31" s="12" t="n">
        <x:v>2</x:v>
      </x:c>
      <x:c r="D31" s="12" t="str">
        <x:v>Email:56 | Event:106</x:v>
      </x:c>
      <x:c r="E31" s="12" t="str">
        <x:v>inventaire_union_paragraphe7_revise_axes.xlsx:sheet:Union probatoire;row:124 | inventaire_union_paragraphe7_revise_axes.xlsx:sheet:Union probatoire;row:26 | inventaire_union_paragraphe7_revise_axes.xlsx:sheet:Union probatoire;row:67</x:v>
      </x:c>
    </x:row>
    <x:row r="32">
      <x:c r="A32" s="12" t="str">
        <x:v>P-117</x:v>
      </x:c>
      <x:c r="B32" s="12" t="str">
        <x:v>ambiguous</x:v>
      </x:c>
      <x:c r="C32" s="12" t="n">
        <x:v>2</x:v>
      </x:c>
      <x:c r="D32" s="12" t="str">
        <x:v>Email:56 | Event:106</x:v>
      </x:c>
      <x:c r="E32" s="12" t="str">
        <x:v>inventaire_union_paragraphe7_revise_axes.xlsx:sheet:Union probatoire;row:125 | inventaire_union_paragraphe7_revise_axes.xlsx:sheet:Union probatoire;row:26 | inventaire_union_paragraphe7_revise_axes.xlsx:sheet:Union probatoire;row:67</x:v>
      </x:c>
    </x:row>
    <x:row r="33">
      <x:c r="A33" s="12" t="str">
        <x:v>P-120</x:v>
      </x:c>
      <x:c r="B33" s="12" t="str">
        <x:v>resolved</x:v>
      </x:c>
      <x:c r="C33" s="12" t="n">
        <x:v>1</x:v>
      </x:c>
      <x:c r="D33" s="12" t="str">
        <x:v>Email:55</x:v>
      </x:c>
      <x:c r="E33" s="12" t="str">
        <x:v>inventaire_union_paragraphe7_revise_axes.xlsx:sheet:Union probatoire;row:126 | inventaire_union_paragraphe7_revise_axes.xlsx:sheet:Union probatoire;row:25</x:v>
      </x:c>
    </x:row>
    <x:row r="34">
      <x:c r="A34" s="12" t="str">
        <x:v>P-124</x:v>
      </x:c>
      <x:c r="B34" s="12" t="str">
        <x:v>resolved</x:v>
      </x:c>
      <x:c r="C34" s="12" t="n">
        <x:v>1</x:v>
      </x:c>
      <x:c r="D34" s="12" t="str">
        <x:v>Email:382</x:v>
      </x:c>
      <x:c r="E34" s="12" t="str">
        <x:v>inventaire_union_paragraphe7_revise_axes.xlsx:sheet:Union probatoire;row:127 | inventaire_union_paragraphe7_revise_axes.xlsx:sheet:Union probatoire;row:57</x:v>
      </x:c>
    </x:row>
    <x:row r="35">
      <x:c r="A35" s="12" t="str">
        <x:v>P-125</x:v>
      </x:c>
      <x:c r="B35" s="12" t="str">
        <x:v>resolved</x:v>
      </x:c>
      <x:c r="C35" s="12" t="n">
        <x:v>1</x:v>
      </x:c>
      <x:c r="D35" s="12" t="str">
        <x:v>Email:383</x:v>
      </x:c>
      <x:c r="E35" s="12" t="str">
        <x:v>inventaire_union_paragraphe7_revise_axes.xlsx:sheet:Union probatoire;row:128 | inventaire_union_paragraphe7_revise_axes.xlsx:sheet:Union probatoire;row:58</x:v>
      </x:c>
    </x:row>
    <x:row r="36">
      <x:c r="A36" s="12" t="str">
        <x:v>P-128</x:v>
      </x:c>
      <x:c r="B36" s="12" t="str">
        <x:v>ambiguous</x:v>
      </x:c>
      <x:c r="C36" s="12" t="n">
        <x:v>13</x:v>
      </x:c>
      <x:c r="D36" s="12" t="str">
        <x:v>Event:113 | Event:114 | Event:115 | Event:116 | Event:117 | Event:118 | Event:119 | Event:120 | Event:121 | Event:122 | Event:123 | Event:124 | Event:125</x:v>
      </x:c>
      <x:c r="E36" s="12" t="str">
        <x:v>inventaire_union_paragraphe7_revise_axes.xlsx:sheet:Union probatoire;row:129 | inventaire_union_paragraphe7_revise_axes.xlsx:sheet:Union probatoire;row:68 | inventaire_union_paragraphe7_revise_axes.xlsx:sheet:Union probatoire;row:69 | inventaire_union_paragraphe7_revise_axes.xlsx:sheet:Union probatoire;row:70 | inventaire_union_paragraphe7_revise_axes.xlsx:sheet:Union probatoire;row:71 | inventaire_union_paragraphe7_revise_axes.xlsx:sheet:Union probatoire;row:72 | inventaire_union_paragraphe7_revise_axes.xlsx:sheet:Union probatoire;row:73 | inventaire_union_paragraphe7_revise_axes.xlsx:sheet:Union probatoire;row:74 | inventaire_union_paragraphe7_revise_axes.xlsx:sheet:Union probatoire;row:75 | inventaire_union_paragraphe7_revise_axes.xlsx:sheet:Union probatoire;row:76 | inventaire_union_paragraphe7_revise_axes.xlsx:sheet:Union probatoire;row:77 | inventaire_union_paragraphe7_revise_axes.xlsx:sheet:Union probatoire;row:78 | inventaire_union_paragraphe7_revise_axes.xlsx:sheet:Union probatoire;row:79 | inventaire_union_paragraphe7_revise_axes.xlsx:sheet:Union probatoire;row:80</x:v>
      </x:c>
    </x:row>
    <x:row r="37">
      <x:c r="A37" s="12" t="str">
        <x:v>P-129</x:v>
      </x:c>
      <x:c r="B37" s="12" t="str">
        <x:v>unresolved</x:v>
      </x:c>
      <x:c r="C37" s="12" t="n">
        <x:v>0</x:v>
      </x:c>
      <x:c r="D37" s="12" t="str"/>
      <x:c r="E37" s="12" t="str">
        <x:v>inventaire_union_paragraphe7_revise_axes.xlsx:sheet:Union probatoire;row:130</x:v>
      </x:c>
    </x:row>
    <x:row r="38">
      <x:c r="A38" s="12" t="str">
        <x:v>P-130</x:v>
      </x:c>
      <x:c r="B38" s="12" t="str">
        <x:v>unresolved</x:v>
      </x:c>
      <x:c r="C38" s="12" t="n">
        <x:v>0</x:v>
      </x:c>
      <x:c r="D38" s="12" t="str"/>
      <x:c r="E38" s="12" t="str">
        <x:v>inventaire_union_paragraphe7_revise_axes.xlsx:sheet:Union probatoire;row:131</x:v>
      </x:c>
    </x:row>
    <x:row r="39">
      <x:c r="A39" s="12" t="str">
        <x:v>P-131</x:v>
      </x:c>
      <x:c r="B39" s="12" t="str">
        <x:v>unresolved</x:v>
      </x:c>
      <x:c r="C39" s="12" t="n">
        <x:v>0</x:v>
      </x:c>
      <x:c r="D39" s="12" t="str"/>
      <x:c r="E39" s="12" t="str">
        <x:v>inventaire_union_paragraphe7_revise_axes.xlsx:sheet:Union probatoire;row:132</x:v>
      </x:c>
    </x:row>
    <x:row r="40">
      <x:c r="A40" s="12" t="str">
        <x:v>P-132</x:v>
      </x:c>
      <x:c r="B40" s="12" t="str">
        <x:v>unresolved</x:v>
      </x:c>
      <x:c r="C40" s="12" t="n">
        <x:v>0</x:v>
      </x:c>
      <x:c r="D40" s="12" t="str"/>
      <x:c r="E40" s="12" t="str">
        <x:v>inventaire_union_paragraphe7_revise_axes.xlsx:sheet:Union probatoire;row:133</x:v>
      </x:c>
    </x:row>
    <x:row r="41">
      <x:c r="A41" s="12" t="str">
        <x:v>P-133</x:v>
      </x:c>
      <x:c r="B41" s="12" t="str">
        <x:v>unresolved</x:v>
      </x:c>
      <x:c r="C41" s="12" t="n">
        <x:v>0</x:v>
      </x:c>
      <x:c r="D41" s="12" t="str"/>
      <x:c r="E41" s="12" t="str">
        <x:v>inventaire_union_paragraphe7_revise_axes.xlsx:sheet:Union probatoire;row:134</x:v>
      </x:c>
    </x:row>
    <x:row r="42">
      <x:c r="A42" s="12" t="str">
        <x:v>P-134</x:v>
      </x:c>
      <x:c r="B42" s="12" t="str">
        <x:v>unresolved</x:v>
      </x:c>
      <x:c r="C42" s="12" t="n">
        <x:v>0</x:v>
      </x:c>
      <x:c r="D42" s="12" t="str"/>
      <x:c r="E42" s="12" t="str">
        <x:v>inventaire_union_paragraphe7_revise_axes.xlsx:sheet:Union probatoire;row:135</x:v>
      </x:c>
    </x:row>
    <x:row r="43">
      <x:c r="A43" s="12" t="str">
        <x:v>P-135</x:v>
      </x:c>
      <x:c r="B43" s="12" t="str">
        <x:v>unresolved</x:v>
      </x:c>
      <x:c r="C43" s="12" t="n">
        <x:v>0</x:v>
      </x:c>
      <x:c r="D43" s="12" t="str"/>
      <x:c r="E43" s="12" t="str">
        <x:v>inventaire_union_paragraphe7_revise_axes.xlsx:sheet:Union probatoire;row:136</x:v>
      </x:c>
    </x:row>
    <x:row r="44">
      <x:c r="A44" s="12" t="str">
        <x:v>P-136</x:v>
      </x:c>
      <x:c r="B44" s="12" t="str">
        <x:v>unresolved</x:v>
      </x:c>
      <x:c r="C44" s="12" t="n">
        <x:v>0</x:v>
      </x:c>
      <x:c r="D44" s="12" t="str"/>
      <x:c r="E44" s="12" t="str">
        <x:v>inventaire_union_paragraphe7_revise_axes.xlsx:sheet:Union probatoire;row:137</x:v>
      </x:c>
    </x:row>
    <x:row r="45">
      <x:c r="A45" s="12" t="str">
        <x:v>P-137</x:v>
      </x:c>
      <x:c r="B45" s="12" t="str">
        <x:v>unresolved</x:v>
      </x:c>
      <x:c r="C45" s="12" t="n">
        <x:v>0</x:v>
      </x:c>
      <x:c r="D45" s="12" t="str"/>
      <x:c r="E45" s="12" t="str">
        <x:v>inventaire_union_paragraphe7_revise_axes.xlsx:sheet:Union probatoire;row:138</x:v>
      </x:c>
    </x:row>
    <x:row r="46">
      <x:c r="A46" s="12" t="str">
        <x:v>P-138</x:v>
      </x:c>
      <x:c r="B46" s="12" t="str">
        <x:v>unresolved</x:v>
      </x:c>
      <x:c r="C46" s="12" t="n">
        <x:v>0</x:v>
      </x:c>
      <x:c r="D46" s="12" t="str"/>
      <x:c r="E46" s="12" t="str">
        <x:v>inventaire_union_paragraphe7_revise_axes.xlsx:sheet:Union probatoire;row:139</x:v>
      </x:c>
    </x:row>
    <x:row r="47">
      <x:c r="A47" s="12" t="str">
        <x:v>P-139</x:v>
      </x:c>
      <x:c r="B47" s="12" t="str">
        <x:v>unresolved</x:v>
      </x:c>
      <x:c r="C47" s="12" t="n">
        <x:v>0</x:v>
      </x:c>
      <x:c r="D47" s="12" t="str"/>
      <x:c r="E47" s="12" t="str">
        <x:v>inventaire_union_paragraphe7_revise_axes.xlsx:sheet:Union probatoire;row:140</x:v>
      </x:c>
    </x:row>
    <x:row r="48">
      <x:c r="A48" s="12" t="str">
        <x:v>P-140</x:v>
      </x:c>
      <x:c r="B48" s="12" t="str">
        <x:v>unresolved</x:v>
      </x:c>
      <x:c r="C48" s="12" t="n">
        <x:v>0</x:v>
      </x:c>
      <x:c r="D48" s="12" t="str"/>
      <x:c r="E48" s="12" t="str">
        <x:v>inventaire_union_paragraphe7_revise_axes.xlsx:sheet:Union probatoire;row:141</x:v>
      </x:c>
    </x:row>
    <x:row r="49">
      <x:c r="A49" s="12" t="str">
        <x:v>P-141</x:v>
      </x:c>
      <x:c r="B49" s="12" t="str">
        <x:v>ambiguous</x:v>
      </x:c>
      <x:c r="C49" s="12" t="n">
        <x:v>13</x:v>
      </x:c>
      <x:c r="D49" s="12" t="str">
        <x:v>Event:113 | Event:114 | Event:115 | Event:116 | Event:117 | Event:118 | Event:119 | Event:120 | Event:121 | Event:122 | Event:123 | Event:124 | Event:125</x:v>
      </x:c>
      <x:c r="E49" s="12" t="str">
        <x:v>inventaire_union_paragraphe7_revise_axes.xlsx:sheet:Union probatoire;row:142 | inventaire_union_paragraphe7_revise_axes.xlsx:sheet:Union probatoire;row:68 | inventaire_union_paragraphe7_revise_axes.xlsx:sheet:Union probatoire;row:69 | inventaire_union_paragraphe7_revise_axes.xlsx:sheet:Union probatoire;row:70 | inventaire_union_paragraphe7_revise_axes.xlsx:sheet:Union probatoire;row:71 | inventaire_union_paragraphe7_revise_axes.xlsx:sheet:Union probatoire;row:72 | inventaire_union_paragraphe7_revise_axes.xlsx:sheet:Union probatoire;row:73 | inventaire_union_paragraphe7_revise_axes.xlsx:sheet:Union probatoire;row:74 | inventaire_union_paragraphe7_revise_axes.xlsx:sheet:Union probatoire;row:75 | inventaire_union_paragraphe7_revise_axes.xlsx:sheet:Union probatoire;row:76 | inventaire_union_paragraphe7_revise_axes.xlsx:sheet:Union probatoire;row:77 | inventaire_union_paragraphe7_revise_axes.xlsx:sheet:Union probatoire;row:78 | inventaire_union_paragraphe7_revise_axes.xlsx:sheet:Union probatoire;row:79 | inventaire_union_paragraphe7_revise_axes.xlsx:sheet:Union probatoire;row:80</x:v>
      </x:c>
    </x:row>
    <x:row r="50">
      <x:c r="A50" s="12" t="str">
        <x:v>P-148</x:v>
      </x:c>
      <x:c r="B50" s="12" t="str">
        <x:v>resolved</x:v>
      </x:c>
      <x:c r="C50" s="12" t="n">
        <x:v>1</x:v>
      </x:c>
      <x:c r="D50" s="12" t="str">
        <x:v>Email:54</x:v>
      </x:c>
      <x:c r="E50" s="12" t="str">
        <x:v>consolidation_pieces_par14-17_2015.xlsx:sheet:Inventaire;row:88 | rapport_union_pieces_par14-17_2015.md:line:96 | union_pieces_par14-17_2015.csv:row:85</x:v>
      </x:c>
    </x:row>
    <x:row r="51">
      <x:c r="A51" s="12" t="str">
        <x:v>P-156</x:v>
      </x:c>
      <x:c r="B51" s="12" t="str">
        <x:v>ambiguous</x:v>
      </x:c>
      <x:c r="C51" s="12" t="n">
        <x:v>2</x:v>
      </x:c>
      <x:c r="D51" s="12" t="str">
        <x:v>Email:51 | Email:53</x:v>
      </x:c>
      <x:c r="E51" s="12" t="str">
        <x:v>inventaire_union_paragraphe7_revise_axes.xlsx:sheet:Union probatoire;row:143 | inventaire_union_paragraphe7_revise_axes.xlsx:sheet:Union probatoire;row:22 | inventaire_union_paragraphe7_revise_axes.xlsx:sheet:Union probatoire;row:23</x:v>
      </x:c>
    </x:row>
    <x:row r="52">
      <x:c r="A52" s="12" t="str">
        <x:v>P-157</x:v>
      </x:c>
      <x:c r="B52" s="12" t="str">
        <x:v>ambiguous</x:v>
      </x:c>
      <x:c r="C52" s="12" t="n">
        <x:v>2</x:v>
      </x:c>
      <x:c r="D52" s="12" t="str">
        <x:v>Email:51 | Email:53</x:v>
      </x:c>
      <x:c r="E52" s="12" t="str">
        <x:v>inventaire_union_paragraphe7_revise_axes.xlsx:sheet:Union probatoire;row:144 | inventaire_union_paragraphe7_revise_axes.xlsx:sheet:Union probatoire;row:22 | inventaire_union_paragraphe7_revise_axes.xlsx:sheet:Union probatoire;row:23</x:v>
      </x:c>
    </x:row>
    <x:row r="53">
      <x:c r="A53" s="12" t="str">
        <x:v>P-174</x:v>
      </x:c>
      <x:c r="B53" s="12" t="str">
        <x:v>ambiguous</x:v>
      </x:c>
      <x:c r="C53" s="12" t="n">
        <x:v>14</x:v>
      </x:c>
      <x:c r="D53" s="12" t="str">
        <x:v>PDFDocument:45 | PDFDocument:46 | PDFDocument:47 | PDFDocument:48 | PDFDocument:49 | PDFDocument:50 | PDFDocument:51 | PDFDocument:52 | PDFDocument:53 | PDFDocument:54 | PDFDocument:55 | PDFDocument:56 | PDFDocument:57 | PDFDocument:58</x:v>
      </x:c>
      <x:c r="E53" s="12" t="str">
        <x:v>inventaire_union_paragraphe7_revise_axes.xlsx:sheet:Union probatoire;row:100 | inventaire_union_paragraphe7_revise_axes.xlsx:sheet:Union probatoire;row:145 | inventaire_union_paragraphe7_revise_axes.xlsx:sheet:Union probatoire;row:87 | inventaire_union_paragraphe7_revise_axes.xlsx:sheet:Union probatoire;row:88 | inventaire_union_paragraphe7_revise_axes.xlsx:sheet:Union probatoire;row:89 | inventaire_union_paragraphe7_revise_axes.xlsx:sheet:Union probatoire;row:90 | inventaire_union_paragraphe7_revise_axes.xlsx:sheet:Union probatoire;row:91 | inventaire_union_paragraphe7_revise_axes.xlsx:sheet:Union probatoire;row:92 | inventaire_union_paragraphe7_revise_axes.xlsx:sheet:Union probatoire;row:93 | inventaire_union_paragraphe7_revise_axes.xlsx:sheet:Union probatoire;row:94 | inventaire_union_paragraphe7_revise_axes.xlsx:sheet:Union probatoire;row:95 | inventaire_union_paragraphe7_revise_axes.xlsx:sheet:Union probatoire;row:96 | inventaire_union_paragraphe7_revise_axes.xlsx:sheet:Union probatoire;row:97 | inventaire_union_paragraphe7_revise_axes.xlsx:sheet:Union probatoire;row:98 | inventaire_union_paragraphe7_revise_axes.xlsx:sheet:Union probatoire;row:99</x:v>
      </x:c>
    </x:row>
    <x:row r="54">
      <x:c r="A54" s="12" t="str">
        <x:v>P-186</x:v>
      </x:c>
      <x:c r="B54" s="12" t="str">
        <x:v>resolved</x:v>
      </x:c>
      <x:c r="C54" s="12" t="n">
        <x:v>1</x:v>
      </x:c>
      <x:c r="D54" s="12" t="str">
        <x:v>Email:347</x:v>
      </x:c>
      <x:c r="E54" s="12" t="str">
        <x:v>consolidation_pieces_par14-17_2015.xlsx:sheet:Inventaire;row:71 | rapport_union_pieces_par14-17_2015.md:line:79 | union_pieces_par14-17_2015.csv:row:68</x:v>
      </x:c>
    </x:row>
    <x:row r="55">
      <x:c r="A55" s="12" t="str">
        <x:v>P-244</x:v>
      </x:c>
      <x:c r="B55" s="12" t="str">
        <x:v>resolved</x:v>
      </x:c>
      <x:c r="C55" s="12" t="n">
        <x:v>1</x:v>
      </x:c>
      <x:c r="D55" s="12" t="str">
        <x:v>Event:316</x:v>
      </x:c>
      <x:c r="E55" s="12" t="str">
        <x:v>inventaire_union_paragraphe_9.xlsx:sheet:Inventaire principal;row:96</x:v>
      </x:c>
    </x:row>
    <x:row r="56">
      <x:c r="A56" s="12" t="str">
        <x:v>P-247</x:v>
      </x:c>
      <x:c r="B56" s="12" t="str">
        <x:v>resolved</x:v>
      </x:c>
      <x:c r="C56" s="12" t="n">
        <x:v>1</x:v>
      </x:c>
      <x:c r="D56" s="12" t="str">
        <x:v>Event:244</x:v>
      </x:c>
      <x:c r="E56" s="12" t="str">
        <x:v>inventaire_union_paragraphe_9.xlsx:sheet:Inventaire principal;row:62</x:v>
      </x:c>
    </x:row>
    <x:row r="57">
      <x:c r="A57" s="12" t="str">
        <x:v>P-250</x:v>
      </x:c>
      <x:c r="B57" s="12" t="str">
        <x:v>resolved</x:v>
      </x:c>
      <x:c r="C57" s="12" t="n">
        <x:v>1</x:v>
      </x:c>
      <x:c r="D57" s="12" t="str">
        <x:v>Event:246</x:v>
      </x:c>
      <x:c r="E57" s="12" t="str">
        <x:v>inventaire_union_paragraphe_9.xlsx:sheet:Inventaire principal;row:64</x:v>
      </x:c>
    </x:row>
    <x:row r="58">
      <x:c r="A58" s="12" t="str">
        <x:v>P-251</x:v>
      </x:c>
      <x:c r="B58" s="12" t="str">
        <x:v>resolved</x:v>
      </x:c>
      <x:c r="C58" s="12" t="n">
        <x:v>1</x:v>
      </x:c>
      <x:c r="D58" s="12" t="str">
        <x:v>Event:317</x:v>
      </x:c>
      <x:c r="E58" s="12" t="str">
        <x:v>inventaire_union_paragraphe_9.xlsx:sheet:Inventaire principal;row:97</x:v>
      </x:c>
    </x:row>
    <x:row r="59">
      <x:c r="A59" s="12" t="str">
        <x:v>P-259</x:v>
      </x:c>
      <x:c r="B59" s="12" t="str">
        <x:v>resolved</x:v>
      </x:c>
      <x:c r="C59" s="12" t="n">
        <x:v>1</x:v>
      </x:c>
      <x:c r="D59" s="12" t="str">
        <x:v>Event:254</x:v>
      </x:c>
      <x:c r="E59" s="12" t="str">
        <x:v>inventaire_union_paragraphe_9.xlsx:sheet:Inventaire principal;row:72</x:v>
      </x:c>
    </x:row>
    <x:row r="60">
      <x:c r="A60" s="12" t="str">
        <x:v>P-262</x:v>
      </x:c>
      <x:c r="B60" s="12" t="str">
        <x:v>ambiguous</x:v>
      </x:c>
      <x:c r="C60" s="12" t="n">
        <x:v>2</x:v>
      </x:c>
      <x:c r="D60" s="12" t="str">
        <x:v>Event:312 | PhotoDocument:5</x:v>
      </x:c>
      <x:c r="E60" s="12" t="str">
        <x:v>inventaire_union_paragraphe_9.xlsx:sheet:Inventaire principal;row:155 | inventaire_union_paragraphe_9.xlsx:sheet:Inventaire principal;row:92</x:v>
      </x:c>
    </x:row>
    <x:row r="61">
      <x:c r="A61" s="12" t="str">
        <x:v>P-263</x:v>
      </x:c>
      <x:c r="B61" s="12" t="str">
        <x:v>resolved</x:v>
      </x:c>
      <x:c r="C61" s="12" t="n">
        <x:v>1</x:v>
      </x:c>
      <x:c r="D61" s="12" t="str">
        <x:v>Event:313</x:v>
      </x:c>
      <x:c r="E61" s="12" t="str">
        <x:v>inventaire_union_paragraphe_9.xlsx:sheet:Inventaire principal;row:93</x:v>
      </x:c>
    </x:row>
    <x:row r="62">
      <x:c r="A62" s="12" t="str">
        <x:v>P-264</x:v>
      </x:c>
      <x:c r="B62" s="12" t="str">
        <x:v>resolved</x:v>
      </x:c>
      <x:c r="C62" s="12" t="n">
        <x:v>1</x:v>
      </x:c>
      <x:c r="D62" s="12" t="str">
        <x:v>Event:314</x:v>
      </x:c>
      <x:c r="E62" s="12" t="str">
        <x:v>inventaire_union_paragraphe_9.xlsx:sheet:Inventaire principal;row:94</x:v>
      </x:c>
    </x:row>
    <x:row r="63">
      <x:c r="A63" s="12" t="str">
        <x:v>P-265</x:v>
      </x:c>
      <x:c r="B63" s="12" t="str">
        <x:v>ambiguous</x:v>
      </x:c>
      <x:c r="C63" s="12" t="n">
        <x:v>2</x:v>
      </x:c>
      <x:c r="D63" s="12" t="str">
        <x:v>Event:315 | PhotoDocument:5</x:v>
      </x:c>
      <x:c r="E63" s="12" t="str">
        <x:v>inventaire_union_paragraphe_9.xlsx:sheet:Inventaire principal;row:155 | inventaire_union_paragraphe_9.xlsx:sheet:Inventaire principal;row:95</x:v>
      </x:c>
    </x:row>
    <x:row r="64">
      <x:c r="A64" s="12" t="str">
        <x:v>P-266</x:v>
      </x:c>
      <x:c r="B64" s="12" t="str">
        <x:v>resolved</x:v>
      </x:c>
      <x:c r="C64" s="12" t="n">
        <x:v>1</x:v>
      </x:c>
      <x:c r="D64" s="12" t="str">
        <x:v>Email:35</x:v>
      </x:c>
      <x:c r="E64" s="12" t="str">
        <x:v>inventaire_union_paragraphe_9.xlsx:sheet:Inventaire principal;row:112</x:v>
      </x:c>
    </x:row>
    <x:row r="65">
      <x:c r="A65" s="12" t="str">
        <x:v>P-267</x:v>
      </x:c>
      <x:c r="B65" s="12" t="str">
        <x:v>ambiguous</x:v>
      </x:c>
      <x:c r="C65" s="12" t="n">
        <x:v>2</x:v>
      </x:c>
      <x:c r="D65" s="12" t="str">
        <x:v>Email:136 | PDFDocument:60</x:v>
      </x:c>
      <x:c r="E65" s="12" t="str">
        <x:v>inventaire_union_paragraphe_9.xlsx:sheet:Inventaire principal;row:119 | inventaire_union_paragraphe_9.xlsx:sheet:Inventaire principal;row:152</x:v>
      </x:c>
    </x:row>
    <x:row r="66">
      <x:c r="A66" s="12" t="str">
        <x:v>P-269</x:v>
      </x:c>
      <x:c r="B66" s="12" t="str">
        <x:v>resolved</x:v>
      </x:c>
      <x:c r="C66" s="12" t="n">
        <x:v>1</x:v>
      </x:c>
      <x:c r="D66" s="12" t="str">
        <x:v>Email:34</x:v>
      </x:c>
      <x:c r="E66" s="12" t="str">
        <x:v>inventaire_union_paragraphe_9.xlsx:sheet:Inventaire principal;row:111</x:v>
      </x:c>
    </x:row>
    <x:row r="67">
      <x:c r="A67" s="12" t="str">
        <x:v>P-279</x:v>
      </x:c>
      <x:c r="B67" s="12" t="str">
        <x:v>resolved</x:v>
      </x:c>
      <x:c r="C67" s="12" t="n">
        <x:v>1</x:v>
      </x:c>
      <x:c r="D67" s="12" t="str">
        <x:v>Event:318</x:v>
      </x:c>
      <x:c r="E67" s="12" t="str">
        <x:v>inventaire_union_paragraphe_9.xlsx:sheet:Inventaire principal;row:98</x:v>
      </x:c>
    </x:row>
    <x:row r="68">
      <x:c r="A68" s="12" t="str">
        <x:v>P-284</x:v>
      </x:c>
      <x:c r="B68" s="12" t="str">
        <x:v>resolved</x:v>
      </x:c>
      <x:c r="C68" s="12" t="n">
        <x:v>1</x:v>
      </x:c>
      <x:c r="D68" s="12" t="str">
        <x:v>Event:319</x:v>
      </x:c>
      <x:c r="E68" s="12" t="str">
        <x:v>inventaire_union_paragraphe_9.xlsx:sheet:Inventaire principal;row:99</x:v>
      </x:c>
    </x:row>
    <x:row r="69">
      <x:c r="A69" s="12" t="str">
        <x:v>P-289</x:v>
      </x:c>
      <x:c r="B69" s="12" t="str">
        <x:v>resolved</x:v>
      </x:c>
      <x:c r="C69" s="12" t="n">
        <x:v>1</x:v>
      </x:c>
      <x:c r="D69" s="12" t="str">
        <x:v>Event:267</x:v>
      </x:c>
      <x:c r="E69" s="12" t="str">
        <x:v>inventaire_union_paragraphe_9.xlsx:sheet:Inventaire principal;row:85</x:v>
      </x:c>
    </x:row>
    <x:row r="70">
      <x:c r="A70" s="12" t="str">
        <x:v>P-338</x:v>
      </x:c>
      <x:c r="B70" s="12" t="str">
        <x:v>resolved</x:v>
      </x:c>
      <x:c r="C70" s="12" t="n">
        <x:v>1</x:v>
      </x:c>
      <x:c r="D70" s="12" t="str">
        <x:v>PDFDocument:2</x:v>
      </x:c>
      <x:c r="E70" s="12" t="str">
        <x:v>2015_par_18.md:line:21 | 2015_par_18.md:line:29</x:v>
      </x:c>
    </x:row>
    <x:row r="71">
      <x:c r="A71" s="12" t="str">
        <x:v>P-340</x:v>
      </x:c>
      <x:c r="B71" s="12" t="str">
        <x:v>unresolved</x:v>
      </x:c>
      <x:c r="C71" s="12" t="n">
        <x:v>0</x:v>
      </x:c>
      <x:c r="D71" s="12" t="str"/>
      <x:c r="E71" s="12" t="str">
        <x:v>2015_par_18.md:line:30</x:v>
      </x:c>
    </x:row>
    <x:row r="72">
      <x:c r="A72" s="12" t="str">
        <x:v>P-362</x:v>
      </x:c>
      <x:c r="B72" s="12" t="str">
        <x:v>resolved</x:v>
      </x:c>
      <x:c r="C72" s="12" t="n">
        <x:v>1</x:v>
      </x:c>
      <x:c r="D72" s="12" t="str">
        <x:v>Email:16</x:v>
      </x:c>
      <x:c r="E72" s="12" t="str">
        <x:v>consolidation_pieces_par14-17_2015.xlsx:sheet:Inventaire;row:13 | inventaire_union_paragraphe7_revise_axes.xlsx:sheet:Union probatoire;row:9 | rapport_union_pieces_par14-17_2015.md:line:21 | union_pieces_par14-17_2015.csv:row:10</x:v>
      </x:c>
    </x:row>
    <x:row r="73">
      <x:c r="A73" s="12" t="str">
        <x:v>P-384</x:v>
      </x:c>
      <x:c r="B73" s="12" t="str">
        <x:v>resolved</x:v>
      </x:c>
      <x:c r="C73" s="12" t="n">
        <x:v>1</x:v>
      </x:c>
      <x:c r="D73" s="12" t="str">
        <x:v>Email:330</x:v>
      </x:c>
      <x:c r="E73" s="12" t="str">
        <x:v>2023_par_7_8.md:line:31</x:v>
      </x:c>
    </x:row>
    <x:row r="74">
      <x:c r="A74" s="14" t="str">
        <x:v>P-386</x:v>
      </x:c>
      <x:c r="B74" s="14" t="str">
        <x:v>resolved</x:v>
      </x:c>
      <x:c r="C74" s="14" t="n">
        <x:v>1</x:v>
      </x:c>
      <x:c r="D74" s="14" t="str">
        <x:v>Email:3</x:v>
      </x:c>
      <x:c r="E74" s="14" t="str">
        <x:v>2023_par_7_8.md:line:32</x:v>
      </x:c>
    </x:row>
  </x:sheetData>
  <x:mergeCells>
    <x:mergeCell ref="A1:E1"/>
  </x:mergeCells>
  <x:conditionalFormatting sqref="B4:B74">
    <x:cfRule type="containsText" dxfId="1" priority="1" operator="containsText" text="ambiguous"/>
    <x:cfRule type="containsText" dxfId="2" priority="2" operator="containsText" text="unresolved"/>
  </x:conditionalFormatting>
  <x:pageMargins left="0.7" right="0.7" top="0.75" bottom="0.75" header="0.3" footer="0.3"/>
  <x:tableParts count="1">
    <x:tablePart xmlns:r="http://schemas.openxmlformats.org/officeDocument/2006/relationships" r:id="R1b78f6d61b88406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8" hidden="0" customWidth="1"/>
    <x:col min="3" max="3" width="12" hidden="0" customWidth="1"/>
    <x:col min="4" max="4" width="22" hidden="0" customWidth="1"/>
    <x:col min="5" max="5" width="22" hidden="0" customWidth="1"/>
    <x:col min="6" max="6" width="30" hidden="0" customWidth="1"/>
    <x:col min="7" max="7" width="58" hidden="0" customWidth="1"/>
  </x:cols>
  <x:sheetData>
    <x:row r="1" ht="28" customHeight="1">
      <x:c r="A1" s="2" t="str">
        <x:v>Plages collectives</x:v>
      </x:c>
      <x:c r="B1" s="2" t="str">
        <x:v>Plages collectives</x:v>
      </x:c>
      <x:c r="C1" s="2" t="str">
        <x:v>Plages collectives</x:v>
      </x:c>
      <x:c r="D1" s="2" t="str">
        <x:v>Plages collectives</x:v>
      </x:c>
      <x:c r="E1" s="2" t="str">
        <x:v>Plages collectives</x:v>
      </x:c>
      <x:c r="F1" s="2" t="str">
        <x:v>Plages collectives</x:v>
      </x:c>
      <x:c r="G1" s="2" t="str">
        <x:v>Plages collectives</x:v>
      </x:c>
    </x:row>
    <x:row r="3" ht="30" customHeight="1">
      <x:c r="A3" s="4" t="str">
        <x:v>Référence collective</x:v>
      </x:c>
      <x:c r="B3" s="4" t="str">
        <x:v>Modèle</x:v>
      </x:c>
      <x:c r="C3" s="4" t="str">
        <x:v>PK proposé</x:v>
      </x:c>
      <x:c r="D3" s="4" t="str">
        <x:v>Clé canonique</x:v>
      </x:c>
      <x:c r="E3" s="4" t="str">
        <x:v>État Django</x:v>
      </x:c>
      <x:c r="F3" s="4" t="str">
        <x:v>État expansion</x:v>
      </x:c>
      <x:c r="G3" s="4" t="str">
        <x:v>Fichiers sources</x:v>
      </x:c>
    </x:row>
    <x:row r="4">
      <x:c r="A4" s="10" t="str">
        <x:v>ChatMessages id=111 à 146</x:v>
      </x:c>
      <x:c r="B4" s="10" t="str">
        <x:v>ChatMessage</x:v>
      </x:c>
      <x:c r="C4" s="10" t="n">
        <x:v>111</x:v>
      </x:c>
      <x:c r="D4" s="10" t="str">
        <x:v>ChatMessage:111</x:v>
      </x:c>
      <x:c r="E4" s="10" t="str">
        <x:v>found</x:v>
      </x:c>
      <x:c r="F4" s="10" t="str">
        <x:v>proposed_requires_review</x:v>
      </x:c>
      <x:c r="G4" s="10" t="str">
        <x:v>2015_par_4_5_6.md | rapport_union_pieces_par14-17_2015.md | union_exhaustive_pieces_paragraphes_4-5-6.xlsx</x:v>
      </x:c>
    </x:row>
    <x:row r="5">
      <x:c r="A5" s="12" t="str">
        <x:v>ChatMessages id=111 à 146</x:v>
      </x:c>
      <x:c r="B5" s="12" t="str">
        <x:v>ChatMessage</x:v>
      </x:c>
      <x:c r="C5" s="12" t="n">
        <x:v>112</x:v>
      </x:c>
      <x:c r="D5" s="12" t="str">
        <x:v>ChatMessage:112</x:v>
      </x:c>
      <x:c r="E5" s="12" t="str">
        <x:v>not_in_union_audit</x:v>
      </x:c>
      <x:c r="F5" s="12" t="str">
        <x:v>proposed_requires_review</x:v>
      </x:c>
      <x:c r="G5" s="12" t="str">
        <x:v>2015_par_4_5_6.md | rapport_union_pieces_par14-17_2015.md | union_exhaustive_pieces_paragraphes_4-5-6.xlsx</x:v>
      </x:c>
    </x:row>
    <x:row r="6">
      <x:c r="A6" s="12" t="str">
        <x:v>ChatMessages id=111 à 146</x:v>
      </x:c>
      <x:c r="B6" s="12" t="str">
        <x:v>ChatMessage</x:v>
      </x:c>
      <x:c r="C6" s="12" t="n">
        <x:v>113</x:v>
      </x:c>
      <x:c r="D6" s="12" t="str">
        <x:v>ChatMessage:113</x:v>
      </x:c>
      <x:c r="E6" s="12" t="str">
        <x:v>not_in_union_audit</x:v>
      </x:c>
      <x:c r="F6" s="12" t="str">
        <x:v>proposed_requires_review</x:v>
      </x:c>
      <x:c r="G6" s="12" t="str">
        <x:v>2015_par_4_5_6.md | rapport_union_pieces_par14-17_2015.md | union_exhaustive_pieces_paragraphes_4-5-6.xlsx</x:v>
      </x:c>
    </x:row>
    <x:row r="7">
      <x:c r="A7" s="12" t="str">
        <x:v>ChatMessages id=111 à 146</x:v>
      </x:c>
      <x:c r="B7" s="12" t="str">
        <x:v>ChatMessage</x:v>
      </x:c>
      <x:c r="C7" s="12" t="n">
        <x:v>114</x:v>
      </x:c>
      <x:c r="D7" s="12" t="str">
        <x:v>ChatMessage:114</x:v>
      </x:c>
      <x:c r="E7" s="12" t="str">
        <x:v>not_in_union_audit</x:v>
      </x:c>
      <x:c r="F7" s="12" t="str">
        <x:v>proposed_requires_review</x:v>
      </x:c>
      <x:c r="G7" s="12" t="str">
        <x:v>2015_par_4_5_6.md | rapport_union_pieces_par14-17_2015.md | union_exhaustive_pieces_paragraphes_4-5-6.xlsx</x:v>
      </x:c>
    </x:row>
    <x:row r="8">
      <x:c r="A8" s="12" t="str">
        <x:v>ChatMessages id=111 à 146</x:v>
      </x:c>
      <x:c r="B8" s="12" t="str">
        <x:v>ChatMessage</x:v>
      </x:c>
      <x:c r="C8" s="12" t="n">
        <x:v>115</x:v>
      </x:c>
      <x:c r="D8" s="12" t="str">
        <x:v>ChatMessage:115</x:v>
      </x:c>
      <x:c r="E8" s="12" t="str">
        <x:v>not_in_union_audit</x:v>
      </x:c>
      <x:c r="F8" s="12" t="str">
        <x:v>proposed_requires_review</x:v>
      </x:c>
      <x:c r="G8" s="12" t="str">
        <x:v>2015_par_4_5_6.md | rapport_union_pieces_par14-17_2015.md | union_exhaustive_pieces_paragraphes_4-5-6.xlsx</x:v>
      </x:c>
    </x:row>
    <x:row r="9">
      <x:c r="A9" s="12" t="str">
        <x:v>ChatMessages id=111 à 146</x:v>
      </x:c>
      <x:c r="B9" s="12" t="str">
        <x:v>ChatMessage</x:v>
      </x:c>
      <x:c r="C9" s="12" t="n">
        <x:v>116</x:v>
      </x:c>
      <x:c r="D9" s="12" t="str">
        <x:v>ChatMessage:116</x:v>
      </x:c>
      <x:c r="E9" s="12" t="str">
        <x:v>not_in_union_audit</x:v>
      </x:c>
      <x:c r="F9" s="12" t="str">
        <x:v>proposed_requires_review</x:v>
      </x:c>
      <x:c r="G9" s="12" t="str">
        <x:v>2015_par_4_5_6.md | rapport_union_pieces_par14-17_2015.md | union_exhaustive_pieces_paragraphes_4-5-6.xlsx</x:v>
      </x:c>
    </x:row>
    <x:row r="10">
      <x:c r="A10" s="12" t="str">
        <x:v>ChatMessages id=111 à 146</x:v>
      </x:c>
      <x:c r="B10" s="12" t="str">
        <x:v>ChatMessage</x:v>
      </x:c>
      <x:c r="C10" s="12" t="n">
        <x:v>117</x:v>
      </x:c>
      <x:c r="D10" s="12" t="str">
        <x:v>ChatMessage:117</x:v>
      </x:c>
      <x:c r="E10" s="12" t="str">
        <x:v>not_in_union_audit</x:v>
      </x:c>
      <x:c r="F10" s="12" t="str">
        <x:v>proposed_requires_review</x:v>
      </x:c>
      <x:c r="G10" s="12" t="str">
        <x:v>2015_par_4_5_6.md | rapport_union_pieces_par14-17_2015.md | union_exhaustive_pieces_paragraphes_4-5-6.xlsx</x:v>
      </x:c>
    </x:row>
    <x:row r="11">
      <x:c r="A11" s="12" t="str">
        <x:v>ChatMessages id=111 à 146</x:v>
      </x:c>
      <x:c r="B11" s="12" t="str">
        <x:v>ChatMessage</x:v>
      </x:c>
      <x:c r="C11" s="12" t="n">
        <x:v>118</x:v>
      </x:c>
      <x:c r="D11" s="12" t="str">
        <x:v>ChatMessage:118</x:v>
      </x:c>
      <x:c r="E11" s="12" t="str">
        <x:v>not_in_union_audit</x:v>
      </x:c>
      <x:c r="F11" s="12" t="str">
        <x:v>proposed_requires_review</x:v>
      </x:c>
      <x:c r="G11" s="12" t="str">
        <x:v>2015_par_4_5_6.md | rapport_union_pieces_par14-17_2015.md | union_exhaustive_pieces_paragraphes_4-5-6.xlsx</x:v>
      </x:c>
    </x:row>
    <x:row r="12">
      <x:c r="A12" s="12" t="str">
        <x:v>ChatMessages id=111 à 146</x:v>
      </x:c>
      <x:c r="B12" s="12" t="str">
        <x:v>ChatMessage</x:v>
      </x:c>
      <x:c r="C12" s="12" t="n">
        <x:v>119</x:v>
      </x:c>
      <x:c r="D12" s="12" t="str">
        <x:v>ChatMessage:119</x:v>
      </x:c>
      <x:c r="E12" s="12" t="str">
        <x:v>not_in_union_audit</x:v>
      </x:c>
      <x:c r="F12" s="12" t="str">
        <x:v>proposed_requires_review</x:v>
      </x:c>
      <x:c r="G12" s="12" t="str">
        <x:v>2015_par_4_5_6.md | rapport_union_pieces_par14-17_2015.md | union_exhaustive_pieces_paragraphes_4-5-6.xlsx</x:v>
      </x:c>
    </x:row>
    <x:row r="13">
      <x:c r="A13" s="12" t="str">
        <x:v>ChatMessages id=111 à 146</x:v>
      </x:c>
      <x:c r="B13" s="12" t="str">
        <x:v>ChatMessage</x:v>
      </x:c>
      <x:c r="C13" s="12" t="n">
        <x:v>120</x:v>
      </x:c>
      <x:c r="D13" s="12" t="str">
        <x:v>ChatMessage:120</x:v>
      </x:c>
      <x:c r="E13" s="12" t="str">
        <x:v>not_in_union_audit</x:v>
      </x:c>
      <x:c r="F13" s="12" t="str">
        <x:v>proposed_requires_review</x:v>
      </x:c>
      <x:c r="G13" s="12" t="str">
        <x:v>2015_par_4_5_6.md | rapport_union_pieces_par14-17_2015.md | union_exhaustive_pieces_paragraphes_4-5-6.xlsx</x:v>
      </x:c>
    </x:row>
    <x:row r="14">
      <x:c r="A14" s="12" t="str">
        <x:v>ChatMessages id=111 à 146</x:v>
      </x:c>
      <x:c r="B14" s="12" t="str">
        <x:v>ChatMessage</x:v>
      </x:c>
      <x:c r="C14" s="12" t="n">
        <x:v>121</x:v>
      </x:c>
      <x:c r="D14" s="12" t="str">
        <x:v>ChatMessage:121</x:v>
      </x:c>
      <x:c r="E14" s="12" t="str">
        <x:v>not_in_union_audit</x:v>
      </x:c>
      <x:c r="F14" s="12" t="str">
        <x:v>proposed_requires_review</x:v>
      </x:c>
      <x:c r="G14" s="12" t="str">
        <x:v>2015_par_4_5_6.md | rapport_union_pieces_par14-17_2015.md | union_exhaustive_pieces_paragraphes_4-5-6.xlsx</x:v>
      </x:c>
    </x:row>
    <x:row r="15">
      <x:c r="A15" s="12" t="str">
        <x:v>ChatMessages id=111 à 146</x:v>
      </x:c>
      <x:c r="B15" s="12" t="str">
        <x:v>ChatMessage</x:v>
      </x:c>
      <x:c r="C15" s="12" t="n">
        <x:v>122</x:v>
      </x:c>
      <x:c r="D15" s="12" t="str">
        <x:v>ChatMessage:122</x:v>
      </x:c>
      <x:c r="E15" s="12" t="str">
        <x:v>not_in_union_audit</x:v>
      </x:c>
      <x:c r="F15" s="12" t="str">
        <x:v>proposed_requires_review</x:v>
      </x:c>
      <x:c r="G15" s="12" t="str">
        <x:v>2015_par_4_5_6.md | rapport_union_pieces_par14-17_2015.md | union_exhaustive_pieces_paragraphes_4-5-6.xlsx</x:v>
      </x:c>
    </x:row>
    <x:row r="16">
      <x:c r="A16" s="12" t="str">
        <x:v>ChatMessages id=111 à 146</x:v>
      </x:c>
      <x:c r="B16" s="12" t="str">
        <x:v>ChatMessage</x:v>
      </x:c>
      <x:c r="C16" s="12" t="n">
        <x:v>123</x:v>
      </x:c>
      <x:c r="D16" s="12" t="str">
        <x:v>ChatMessage:123</x:v>
      </x:c>
      <x:c r="E16" s="12" t="str">
        <x:v>not_in_union_audit</x:v>
      </x:c>
      <x:c r="F16" s="12" t="str">
        <x:v>proposed_requires_review</x:v>
      </x:c>
      <x:c r="G16" s="12" t="str">
        <x:v>2015_par_4_5_6.md | rapport_union_pieces_par14-17_2015.md | union_exhaustive_pieces_paragraphes_4-5-6.xlsx</x:v>
      </x:c>
    </x:row>
    <x:row r="17">
      <x:c r="A17" s="12" t="str">
        <x:v>ChatMessages id=111 à 146</x:v>
      </x:c>
      <x:c r="B17" s="12" t="str">
        <x:v>ChatMessage</x:v>
      </x:c>
      <x:c r="C17" s="12" t="n">
        <x:v>124</x:v>
      </x:c>
      <x:c r="D17" s="12" t="str">
        <x:v>ChatMessage:124</x:v>
      </x:c>
      <x:c r="E17" s="12" t="str">
        <x:v>not_in_union_audit</x:v>
      </x:c>
      <x:c r="F17" s="12" t="str">
        <x:v>proposed_requires_review</x:v>
      </x:c>
      <x:c r="G17" s="12" t="str">
        <x:v>2015_par_4_5_6.md | rapport_union_pieces_par14-17_2015.md | union_exhaustive_pieces_paragraphes_4-5-6.xlsx</x:v>
      </x:c>
    </x:row>
    <x:row r="18">
      <x:c r="A18" s="12" t="str">
        <x:v>ChatMessages id=111 à 146</x:v>
      </x:c>
      <x:c r="B18" s="12" t="str">
        <x:v>ChatMessage</x:v>
      </x:c>
      <x:c r="C18" s="12" t="n">
        <x:v>125</x:v>
      </x:c>
      <x:c r="D18" s="12" t="str">
        <x:v>ChatMessage:125</x:v>
      </x:c>
      <x:c r="E18" s="12" t="str">
        <x:v>not_in_union_audit</x:v>
      </x:c>
      <x:c r="F18" s="12" t="str">
        <x:v>proposed_requires_review</x:v>
      </x:c>
      <x:c r="G18" s="12" t="str">
        <x:v>2015_par_4_5_6.md | rapport_union_pieces_par14-17_2015.md | union_exhaustive_pieces_paragraphes_4-5-6.xlsx</x:v>
      </x:c>
    </x:row>
    <x:row r="19">
      <x:c r="A19" s="12" t="str">
        <x:v>ChatMessages id=111 à 146</x:v>
      </x:c>
      <x:c r="B19" s="12" t="str">
        <x:v>ChatMessage</x:v>
      </x:c>
      <x:c r="C19" s="12" t="n">
        <x:v>126</x:v>
      </x:c>
      <x:c r="D19" s="12" t="str">
        <x:v>ChatMessage:126</x:v>
      </x:c>
      <x:c r="E19" s="12" t="str">
        <x:v>found</x:v>
      </x:c>
      <x:c r="F19" s="12" t="str">
        <x:v>proposed_requires_review</x:v>
      </x:c>
      <x:c r="G19" s="12" t="str">
        <x:v>2015_par_4_5_6.md | rapport_union_pieces_par14-17_2015.md | union_exhaustive_pieces_paragraphes_4-5-6.xlsx</x:v>
      </x:c>
    </x:row>
    <x:row r="20">
      <x:c r="A20" s="12" t="str">
        <x:v>ChatMessages id=111 à 146</x:v>
      </x:c>
      <x:c r="B20" s="12" t="str">
        <x:v>ChatMessage</x:v>
      </x:c>
      <x:c r="C20" s="12" t="n">
        <x:v>127</x:v>
      </x:c>
      <x:c r="D20" s="12" t="str">
        <x:v>ChatMessage:127</x:v>
      </x:c>
      <x:c r="E20" s="12" t="str">
        <x:v>found</x:v>
      </x:c>
      <x:c r="F20" s="12" t="str">
        <x:v>proposed_requires_review</x:v>
      </x:c>
      <x:c r="G20" s="12" t="str">
        <x:v>2015_par_4_5_6.md | rapport_union_pieces_par14-17_2015.md | union_exhaustive_pieces_paragraphes_4-5-6.xlsx</x:v>
      </x:c>
    </x:row>
    <x:row r="21">
      <x:c r="A21" s="12" t="str">
        <x:v>ChatMessages id=111 à 146</x:v>
      </x:c>
      <x:c r="B21" s="12" t="str">
        <x:v>ChatMessage</x:v>
      </x:c>
      <x:c r="C21" s="12" t="n">
        <x:v>128</x:v>
      </x:c>
      <x:c r="D21" s="12" t="str">
        <x:v>ChatMessage:128</x:v>
      </x:c>
      <x:c r="E21" s="12" t="str">
        <x:v>not_in_union_audit</x:v>
      </x:c>
      <x:c r="F21" s="12" t="str">
        <x:v>proposed_requires_review</x:v>
      </x:c>
      <x:c r="G21" s="12" t="str">
        <x:v>2015_par_4_5_6.md | rapport_union_pieces_par14-17_2015.md | union_exhaustive_pieces_paragraphes_4-5-6.xlsx</x:v>
      </x:c>
    </x:row>
    <x:row r="22">
      <x:c r="A22" s="12" t="str">
        <x:v>ChatMessages id=111 à 146</x:v>
      </x:c>
      <x:c r="B22" s="12" t="str">
        <x:v>ChatMessage</x:v>
      </x:c>
      <x:c r="C22" s="12" t="n">
        <x:v>129</x:v>
      </x:c>
      <x:c r="D22" s="12" t="str">
        <x:v>ChatMessage:129</x:v>
      </x:c>
      <x:c r="E22" s="12" t="str">
        <x:v>found</x:v>
      </x:c>
      <x:c r="F22" s="12" t="str">
        <x:v>proposed_requires_review</x:v>
      </x:c>
      <x:c r="G22" s="12" t="str">
        <x:v>2015_par_4_5_6.md | rapport_union_pieces_par14-17_2015.md | union_exhaustive_pieces_paragraphes_4-5-6.xlsx</x:v>
      </x:c>
    </x:row>
    <x:row r="23">
      <x:c r="A23" s="12" t="str">
        <x:v>ChatMessages id=111 à 146</x:v>
      </x:c>
      <x:c r="B23" s="12" t="str">
        <x:v>ChatMessage</x:v>
      </x:c>
      <x:c r="C23" s="12" t="n">
        <x:v>130</x:v>
      </x:c>
      <x:c r="D23" s="12" t="str">
        <x:v>ChatMessage:130</x:v>
      </x:c>
      <x:c r="E23" s="12" t="str">
        <x:v>not_in_union_audit</x:v>
      </x:c>
      <x:c r="F23" s="12" t="str">
        <x:v>proposed_requires_review</x:v>
      </x:c>
      <x:c r="G23" s="12" t="str">
        <x:v>2015_par_4_5_6.md | rapport_union_pieces_par14-17_2015.md | union_exhaustive_pieces_paragraphes_4-5-6.xlsx</x:v>
      </x:c>
    </x:row>
    <x:row r="24">
      <x:c r="A24" s="12" t="str">
        <x:v>ChatMessages id=111 à 146</x:v>
      </x:c>
      <x:c r="B24" s="12" t="str">
        <x:v>ChatMessage</x:v>
      </x:c>
      <x:c r="C24" s="12" t="n">
        <x:v>131</x:v>
      </x:c>
      <x:c r="D24" s="12" t="str">
        <x:v>ChatMessage:131</x:v>
      </x:c>
      <x:c r="E24" s="12" t="str">
        <x:v>found</x:v>
      </x:c>
      <x:c r="F24" s="12" t="str">
        <x:v>proposed_requires_review</x:v>
      </x:c>
      <x:c r="G24" s="12" t="str">
        <x:v>2015_par_4_5_6.md | rapport_union_pieces_par14-17_2015.md | union_exhaustive_pieces_paragraphes_4-5-6.xlsx</x:v>
      </x:c>
    </x:row>
    <x:row r="25">
      <x:c r="A25" s="12" t="str">
        <x:v>ChatMessages id=111 à 146</x:v>
      </x:c>
      <x:c r="B25" s="12" t="str">
        <x:v>ChatMessage</x:v>
      </x:c>
      <x:c r="C25" s="12" t="n">
        <x:v>132</x:v>
      </x:c>
      <x:c r="D25" s="12" t="str">
        <x:v>ChatMessage:132</x:v>
      </x:c>
      <x:c r="E25" s="12" t="str">
        <x:v>not_in_union_audit</x:v>
      </x:c>
      <x:c r="F25" s="12" t="str">
        <x:v>proposed_requires_review</x:v>
      </x:c>
      <x:c r="G25" s="12" t="str">
        <x:v>2015_par_4_5_6.md | rapport_union_pieces_par14-17_2015.md | union_exhaustive_pieces_paragraphes_4-5-6.xlsx</x:v>
      </x:c>
    </x:row>
    <x:row r="26">
      <x:c r="A26" s="12" t="str">
        <x:v>ChatMessages id=111 à 146</x:v>
      </x:c>
      <x:c r="B26" s="12" t="str">
        <x:v>ChatMessage</x:v>
      </x:c>
      <x:c r="C26" s="12" t="n">
        <x:v>133</x:v>
      </x:c>
      <x:c r="D26" s="12" t="str">
        <x:v>ChatMessage:133</x:v>
      </x:c>
      <x:c r="E26" s="12" t="str">
        <x:v>found</x:v>
      </x:c>
      <x:c r="F26" s="12" t="str">
        <x:v>proposed_requires_review</x:v>
      </x:c>
      <x:c r="G26" s="12" t="str">
        <x:v>2015_par_4_5_6.md | rapport_union_pieces_par14-17_2015.md | union_exhaustive_pieces_paragraphes_4-5-6.xlsx</x:v>
      </x:c>
    </x:row>
    <x:row r="27">
      <x:c r="A27" s="12" t="str">
        <x:v>ChatMessages id=111 à 146</x:v>
      </x:c>
      <x:c r="B27" s="12" t="str">
        <x:v>ChatMessage</x:v>
      </x:c>
      <x:c r="C27" s="12" t="n">
        <x:v>134</x:v>
      </x:c>
      <x:c r="D27" s="12" t="str">
        <x:v>ChatMessage:134</x:v>
      </x:c>
      <x:c r="E27" s="12" t="str">
        <x:v>not_in_union_audit</x:v>
      </x:c>
      <x:c r="F27" s="12" t="str">
        <x:v>proposed_requires_review</x:v>
      </x:c>
      <x:c r="G27" s="12" t="str">
        <x:v>2015_par_4_5_6.md | rapport_union_pieces_par14-17_2015.md | union_exhaustive_pieces_paragraphes_4-5-6.xlsx</x:v>
      </x:c>
    </x:row>
    <x:row r="28">
      <x:c r="A28" s="12" t="str">
        <x:v>ChatMessages id=111 à 146</x:v>
      </x:c>
      <x:c r="B28" s="12" t="str">
        <x:v>ChatMessage</x:v>
      </x:c>
      <x:c r="C28" s="12" t="n">
        <x:v>135</x:v>
      </x:c>
      <x:c r="D28" s="12" t="str">
        <x:v>ChatMessage:135</x:v>
      </x:c>
      <x:c r="E28" s="12" t="str">
        <x:v>not_in_union_audit</x:v>
      </x:c>
      <x:c r="F28" s="12" t="str">
        <x:v>proposed_requires_review</x:v>
      </x:c>
      <x:c r="G28" s="12" t="str">
        <x:v>2015_par_4_5_6.md | rapport_union_pieces_par14-17_2015.md | union_exhaustive_pieces_paragraphes_4-5-6.xlsx</x:v>
      </x:c>
    </x:row>
    <x:row r="29">
      <x:c r="A29" s="12" t="str">
        <x:v>ChatMessages id=111 à 146</x:v>
      </x:c>
      <x:c r="B29" s="12" t="str">
        <x:v>ChatMessage</x:v>
      </x:c>
      <x:c r="C29" s="12" t="n">
        <x:v>136</x:v>
      </x:c>
      <x:c r="D29" s="12" t="str">
        <x:v>ChatMessage:136</x:v>
      </x:c>
      <x:c r="E29" s="12" t="str">
        <x:v>not_in_union_audit</x:v>
      </x:c>
      <x:c r="F29" s="12" t="str">
        <x:v>proposed_requires_review</x:v>
      </x:c>
      <x:c r="G29" s="12" t="str">
        <x:v>2015_par_4_5_6.md | rapport_union_pieces_par14-17_2015.md | union_exhaustive_pieces_paragraphes_4-5-6.xlsx</x:v>
      </x:c>
    </x:row>
    <x:row r="30">
      <x:c r="A30" s="12" t="str">
        <x:v>ChatMessages id=111 à 146</x:v>
      </x:c>
      <x:c r="B30" s="12" t="str">
        <x:v>ChatMessage</x:v>
      </x:c>
      <x:c r="C30" s="12" t="n">
        <x:v>137</x:v>
      </x:c>
      <x:c r="D30" s="12" t="str">
        <x:v>ChatMessage:137</x:v>
      </x:c>
      <x:c r="E30" s="12" t="str">
        <x:v>not_in_union_audit</x:v>
      </x:c>
      <x:c r="F30" s="12" t="str">
        <x:v>proposed_requires_review</x:v>
      </x:c>
      <x:c r="G30" s="12" t="str">
        <x:v>2015_par_4_5_6.md | rapport_union_pieces_par14-17_2015.md | union_exhaustive_pieces_paragraphes_4-5-6.xlsx</x:v>
      </x:c>
    </x:row>
    <x:row r="31">
      <x:c r="A31" s="12" t="str">
        <x:v>ChatMessages id=111 à 146</x:v>
      </x:c>
      <x:c r="B31" s="12" t="str">
        <x:v>ChatMessage</x:v>
      </x:c>
      <x:c r="C31" s="12" t="n">
        <x:v>138</x:v>
      </x:c>
      <x:c r="D31" s="12" t="str">
        <x:v>ChatMessage:138</x:v>
      </x:c>
      <x:c r="E31" s="12" t="str">
        <x:v>found</x:v>
      </x:c>
      <x:c r="F31" s="12" t="str">
        <x:v>proposed_requires_review</x:v>
      </x:c>
      <x:c r="G31" s="12" t="str">
        <x:v>2015_par_4_5_6.md | rapport_union_pieces_par14-17_2015.md | union_exhaustive_pieces_paragraphes_4-5-6.xlsx</x:v>
      </x:c>
    </x:row>
    <x:row r="32">
      <x:c r="A32" s="12" t="str">
        <x:v>ChatMessages id=111 à 146</x:v>
      </x:c>
      <x:c r="B32" s="12" t="str">
        <x:v>ChatMessage</x:v>
      </x:c>
      <x:c r="C32" s="12" t="n">
        <x:v>139</x:v>
      </x:c>
      <x:c r="D32" s="12" t="str">
        <x:v>ChatMessage:139</x:v>
      </x:c>
      <x:c r="E32" s="12" t="str">
        <x:v>not_in_union_audit</x:v>
      </x:c>
      <x:c r="F32" s="12" t="str">
        <x:v>proposed_requires_review</x:v>
      </x:c>
      <x:c r="G32" s="12" t="str">
        <x:v>2015_par_4_5_6.md | rapport_union_pieces_par14-17_2015.md | union_exhaustive_pieces_paragraphes_4-5-6.xlsx</x:v>
      </x:c>
    </x:row>
    <x:row r="33">
      <x:c r="A33" s="12" t="str">
        <x:v>ChatMessages id=111 à 146</x:v>
      </x:c>
      <x:c r="B33" s="12" t="str">
        <x:v>ChatMessage</x:v>
      </x:c>
      <x:c r="C33" s="12" t="n">
        <x:v>140</x:v>
      </x:c>
      <x:c r="D33" s="12" t="str">
        <x:v>ChatMessage:140</x:v>
      </x:c>
      <x:c r="E33" s="12" t="str">
        <x:v>not_in_union_audit</x:v>
      </x:c>
      <x:c r="F33" s="12" t="str">
        <x:v>proposed_requires_review</x:v>
      </x:c>
      <x:c r="G33" s="12" t="str">
        <x:v>2015_par_4_5_6.md | rapport_union_pieces_par14-17_2015.md | union_exhaustive_pieces_paragraphes_4-5-6.xlsx</x:v>
      </x:c>
    </x:row>
    <x:row r="34">
      <x:c r="A34" s="12" t="str">
        <x:v>ChatMessages id=111 à 146</x:v>
      </x:c>
      <x:c r="B34" s="12" t="str">
        <x:v>ChatMessage</x:v>
      </x:c>
      <x:c r="C34" s="12" t="n">
        <x:v>141</x:v>
      </x:c>
      <x:c r="D34" s="12" t="str">
        <x:v>ChatMessage:141</x:v>
      </x:c>
      <x:c r="E34" s="12" t="str">
        <x:v>not_in_union_audit</x:v>
      </x:c>
      <x:c r="F34" s="12" t="str">
        <x:v>proposed_requires_review</x:v>
      </x:c>
      <x:c r="G34" s="12" t="str">
        <x:v>2015_par_4_5_6.md | rapport_union_pieces_par14-17_2015.md | union_exhaustive_pieces_paragraphes_4-5-6.xlsx</x:v>
      </x:c>
    </x:row>
    <x:row r="35">
      <x:c r="A35" s="12" t="str">
        <x:v>ChatMessages id=111 à 146</x:v>
      </x:c>
      <x:c r="B35" s="12" t="str">
        <x:v>ChatMessage</x:v>
      </x:c>
      <x:c r="C35" s="12" t="n">
        <x:v>142</x:v>
      </x:c>
      <x:c r="D35" s="12" t="str">
        <x:v>ChatMessage:142</x:v>
      </x:c>
      <x:c r="E35" s="12" t="str">
        <x:v>found</x:v>
      </x:c>
      <x:c r="F35" s="12" t="str">
        <x:v>proposed_requires_review</x:v>
      </x:c>
      <x:c r="G35" s="12" t="str">
        <x:v>2015_par_4_5_6.md | rapport_union_pieces_par14-17_2015.md | union_exhaustive_pieces_paragraphes_4-5-6.xlsx</x:v>
      </x:c>
    </x:row>
    <x:row r="36">
      <x:c r="A36" s="12" t="str">
        <x:v>ChatMessages id=111 à 146</x:v>
      </x:c>
      <x:c r="B36" s="12" t="str">
        <x:v>ChatMessage</x:v>
      </x:c>
      <x:c r="C36" s="12" t="n">
        <x:v>143</x:v>
      </x:c>
      <x:c r="D36" s="12" t="str">
        <x:v>ChatMessage:143</x:v>
      </x:c>
      <x:c r="E36" s="12" t="str">
        <x:v>found</x:v>
      </x:c>
      <x:c r="F36" s="12" t="str">
        <x:v>proposed_requires_review</x:v>
      </x:c>
      <x:c r="G36" s="12" t="str">
        <x:v>2015_par_4_5_6.md | rapport_union_pieces_par14-17_2015.md | union_exhaustive_pieces_paragraphes_4-5-6.xlsx</x:v>
      </x:c>
    </x:row>
    <x:row r="37">
      <x:c r="A37" s="12" t="str">
        <x:v>ChatMessages id=111 à 146</x:v>
      </x:c>
      <x:c r="B37" s="12" t="str">
        <x:v>ChatMessage</x:v>
      </x:c>
      <x:c r="C37" s="12" t="n">
        <x:v>144</x:v>
      </x:c>
      <x:c r="D37" s="12" t="str">
        <x:v>ChatMessage:144</x:v>
      </x:c>
      <x:c r="E37" s="12" t="str">
        <x:v>not_in_union_audit</x:v>
      </x:c>
      <x:c r="F37" s="12" t="str">
        <x:v>proposed_requires_review</x:v>
      </x:c>
      <x:c r="G37" s="12" t="str">
        <x:v>2015_par_4_5_6.md | rapport_union_pieces_par14-17_2015.md | union_exhaustive_pieces_paragraphes_4-5-6.xlsx</x:v>
      </x:c>
    </x:row>
    <x:row r="38">
      <x:c r="A38" s="12" t="str">
        <x:v>ChatMessages id=111 à 146</x:v>
      </x:c>
      <x:c r="B38" s="12" t="str">
        <x:v>ChatMessage</x:v>
      </x:c>
      <x:c r="C38" s="12" t="n">
        <x:v>145</x:v>
      </x:c>
      <x:c r="D38" s="12" t="str">
        <x:v>ChatMessage:145</x:v>
      </x:c>
      <x:c r="E38" s="12" t="str">
        <x:v>found</x:v>
      </x:c>
      <x:c r="F38" s="12" t="str">
        <x:v>proposed_requires_review</x:v>
      </x:c>
      <x:c r="G38" s="12" t="str">
        <x:v>2015_par_4_5_6.md | rapport_union_pieces_par14-17_2015.md | union_exhaustive_pieces_paragraphes_4-5-6.xlsx</x:v>
      </x:c>
    </x:row>
    <x:row r="39">
      <x:c r="A39" s="12" t="str">
        <x:v>ChatMessages id=111 à 146</x:v>
      </x:c>
      <x:c r="B39" s="12" t="str">
        <x:v>ChatMessage</x:v>
      </x:c>
      <x:c r="C39" s="12" t="n">
        <x:v>146</x:v>
      </x:c>
      <x:c r="D39" s="12" t="str">
        <x:v>ChatMessage:146</x:v>
      </x:c>
      <x:c r="E39" s="12" t="str">
        <x:v>found</x:v>
      </x:c>
      <x:c r="F39" s="12" t="str">
        <x:v>proposed_requires_review</x:v>
      </x:c>
      <x:c r="G39" s="12" t="str">
        <x:v>2015_par_4_5_6.md | rapport_union_pieces_par14-17_2015.md | union_exhaustive_pieces_paragraphes_4-5-6.xlsx</x:v>
      </x:c>
    </x:row>
    <x:row r="40">
      <x:c r="A40" s="12" t="str">
        <x:v>ChatMessages id=111 à 311</x:v>
      </x:c>
      <x:c r="B40" s="12" t="str">
        <x:v>ChatMessage</x:v>
      </x:c>
      <x:c r="C40" s="12" t="str"/>
      <x:c r="D40" s="12" t="str"/>
      <x:c r="E40" s="12" t="str">
        <x:v>not_expanded</x:v>
      </x:c>
      <x:c r="F40" s="12" t="str">
        <x:v>range_too_large_or_invalid</x:v>
      </x:c>
      <x:c r="G40" s="12" t="str">
        <x:v>2015_par_4_5_6.md | union_exhaustive_pieces_paragraphes_4-5-6.xlsx</x:v>
      </x:c>
    </x:row>
    <x:row r="41">
      <x:c r="A41" s="12" t="str">
        <x:v>ChatMessages id=111-146</x:v>
      </x:c>
      <x:c r="B41" s="12" t="str">
        <x:v>ChatMessage</x:v>
      </x:c>
      <x:c r="C41" s="12" t="n">
        <x:v>111</x:v>
      </x:c>
      <x:c r="D41" s="12" t="str">
        <x:v>ChatMessage:111</x:v>
      </x:c>
      <x:c r="E41" s="12" t="str">
        <x:v>found</x:v>
      </x:c>
      <x:c r="F41" s="12" t="str">
        <x:v>proposed_requires_review</x:v>
      </x:c>
      <x:c r="G41" s="12" t="str">
        <x:v>union_exhaustive_pieces_paragraphes_4-5-6.xlsx</x:v>
      </x:c>
    </x:row>
    <x:row r="42">
      <x:c r="A42" s="12" t="str">
        <x:v>ChatMessages id=111-146</x:v>
      </x:c>
      <x:c r="B42" s="12" t="str">
        <x:v>ChatMessage</x:v>
      </x:c>
      <x:c r="C42" s="12" t="n">
        <x:v>112</x:v>
      </x:c>
      <x:c r="D42" s="12" t="str">
        <x:v>ChatMessage:112</x:v>
      </x:c>
      <x:c r="E42" s="12" t="str">
        <x:v>not_in_union_audit</x:v>
      </x:c>
      <x:c r="F42" s="12" t="str">
        <x:v>proposed_requires_review</x:v>
      </x:c>
      <x:c r="G42" s="12" t="str">
        <x:v>union_exhaustive_pieces_paragraphes_4-5-6.xlsx</x:v>
      </x:c>
    </x:row>
    <x:row r="43">
      <x:c r="A43" s="12" t="str">
        <x:v>ChatMessages id=111-146</x:v>
      </x:c>
      <x:c r="B43" s="12" t="str">
        <x:v>ChatMessage</x:v>
      </x:c>
      <x:c r="C43" s="12" t="n">
        <x:v>113</x:v>
      </x:c>
      <x:c r="D43" s="12" t="str">
        <x:v>ChatMessage:113</x:v>
      </x:c>
      <x:c r="E43" s="12" t="str">
        <x:v>not_in_union_audit</x:v>
      </x:c>
      <x:c r="F43" s="12" t="str">
        <x:v>proposed_requires_review</x:v>
      </x:c>
      <x:c r="G43" s="12" t="str">
        <x:v>union_exhaustive_pieces_paragraphes_4-5-6.xlsx</x:v>
      </x:c>
    </x:row>
    <x:row r="44">
      <x:c r="A44" s="12" t="str">
        <x:v>ChatMessages id=111-146</x:v>
      </x:c>
      <x:c r="B44" s="12" t="str">
        <x:v>ChatMessage</x:v>
      </x:c>
      <x:c r="C44" s="12" t="n">
        <x:v>114</x:v>
      </x:c>
      <x:c r="D44" s="12" t="str">
        <x:v>ChatMessage:114</x:v>
      </x:c>
      <x:c r="E44" s="12" t="str">
        <x:v>not_in_union_audit</x:v>
      </x:c>
      <x:c r="F44" s="12" t="str">
        <x:v>proposed_requires_review</x:v>
      </x:c>
      <x:c r="G44" s="12" t="str">
        <x:v>union_exhaustive_pieces_paragraphes_4-5-6.xlsx</x:v>
      </x:c>
    </x:row>
    <x:row r="45">
      <x:c r="A45" s="12" t="str">
        <x:v>ChatMessages id=111-146</x:v>
      </x:c>
      <x:c r="B45" s="12" t="str">
        <x:v>ChatMessage</x:v>
      </x:c>
      <x:c r="C45" s="12" t="n">
        <x:v>115</x:v>
      </x:c>
      <x:c r="D45" s="12" t="str">
        <x:v>ChatMessage:115</x:v>
      </x:c>
      <x:c r="E45" s="12" t="str">
        <x:v>not_in_union_audit</x:v>
      </x:c>
      <x:c r="F45" s="12" t="str">
        <x:v>proposed_requires_review</x:v>
      </x:c>
      <x:c r="G45" s="12" t="str">
        <x:v>union_exhaustive_pieces_paragraphes_4-5-6.xlsx</x:v>
      </x:c>
    </x:row>
    <x:row r="46">
      <x:c r="A46" s="12" t="str">
        <x:v>ChatMessages id=111-146</x:v>
      </x:c>
      <x:c r="B46" s="12" t="str">
        <x:v>ChatMessage</x:v>
      </x:c>
      <x:c r="C46" s="12" t="n">
        <x:v>116</x:v>
      </x:c>
      <x:c r="D46" s="12" t="str">
        <x:v>ChatMessage:116</x:v>
      </x:c>
      <x:c r="E46" s="12" t="str">
        <x:v>not_in_union_audit</x:v>
      </x:c>
      <x:c r="F46" s="12" t="str">
        <x:v>proposed_requires_review</x:v>
      </x:c>
      <x:c r="G46" s="12" t="str">
        <x:v>union_exhaustive_pieces_paragraphes_4-5-6.xlsx</x:v>
      </x:c>
    </x:row>
    <x:row r="47">
      <x:c r="A47" s="12" t="str">
        <x:v>ChatMessages id=111-146</x:v>
      </x:c>
      <x:c r="B47" s="12" t="str">
        <x:v>ChatMessage</x:v>
      </x:c>
      <x:c r="C47" s="12" t="n">
        <x:v>117</x:v>
      </x:c>
      <x:c r="D47" s="12" t="str">
        <x:v>ChatMessage:117</x:v>
      </x:c>
      <x:c r="E47" s="12" t="str">
        <x:v>not_in_union_audit</x:v>
      </x:c>
      <x:c r="F47" s="12" t="str">
        <x:v>proposed_requires_review</x:v>
      </x:c>
      <x:c r="G47" s="12" t="str">
        <x:v>union_exhaustive_pieces_paragraphes_4-5-6.xlsx</x:v>
      </x:c>
    </x:row>
    <x:row r="48">
      <x:c r="A48" s="12" t="str">
        <x:v>ChatMessages id=111-146</x:v>
      </x:c>
      <x:c r="B48" s="12" t="str">
        <x:v>ChatMessage</x:v>
      </x:c>
      <x:c r="C48" s="12" t="n">
        <x:v>118</x:v>
      </x:c>
      <x:c r="D48" s="12" t="str">
        <x:v>ChatMessage:118</x:v>
      </x:c>
      <x:c r="E48" s="12" t="str">
        <x:v>not_in_union_audit</x:v>
      </x:c>
      <x:c r="F48" s="12" t="str">
        <x:v>proposed_requires_review</x:v>
      </x:c>
      <x:c r="G48" s="12" t="str">
        <x:v>union_exhaustive_pieces_paragraphes_4-5-6.xlsx</x:v>
      </x:c>
    </x:row>
    <x:row r="49">
      <x:c r="A49" s="12" t="str">
        <x:v>ChatMessages id=111-146</x:v>
      </x:c>
      <x:c r="B49" s="12" t="str">
        <x:v>ChatMessage</x:v>
      </x:c>
      <x:c r="C49" s="12" t="n">
        <x:v>119</x:v>
      </x:c>
      <x:c r="D49" s="12" t="str">
        <x:v>ChatMessage:119</x:v>
      </x:c>
      <x:c r="E49" s="12" t="str">
        <x:v>not_in_union_audit</x:v>
      </x:c>
      <x:c r="F49" s="12" t="str">
        <x:v>proposed_requires_review</x:v>
      </x:c>
      <x:c r="G49" s="12" t="str">
        <x:v>union_exhaustive_pieces_paragraphes_4-5-6.xlsx</x:v>
      </x:c>
    </x:row>
    <x:row r="50">
      <x:c r="A50" s="12" t="str">
        <x:v>ChatMessages id=111-146</x:v>
      </x:c>
      <x:c r="B50" s="12" t="str">
        <x:v>ChatMessage</x:v>
      </x:c>
      <x:c r="C50" s="12" t="n">
        <x:v>120</x:v>
      </x:c>
      <x:c r="D50" s="12" t="str">
        <x:v>ChatMessage:120</x:v>
      </x:c>
      <x:c r="E50" s="12" t="str">
        <x:v>not_in_union_audit</x:v>
      </x:c>
      <x:c r="F50" s="12" t="str">
        <x:v>proposed_requires_review</x:v>
      </x:c>
      <x:c r="G50" s="12" t="str">
        <x:v>union_exhaustive_pieces_paragraphes_4-5-6.xlsx</x:v>
      </x:c>
    </x:row>
    <x:row r="51">
      <x:c r="A51" s="12" t="str">
        <x:v>ChatMessages id=111-146</x:v>
      </x:c>
      <x:c r="B51" s="12" t="str">
        <x:v>ChatMessage</x:v>
      </x:c>
      <x:c r="C51" s="12" t="n">
        <x:v>121</x:v>
      </x:c>
      <x:c r="D51" s="12" t="str">
        <x:v>ChatMessage:121</x:v>
      </x:c>
      <x:c r="E51" s="12" t="str">
        <x:v>not_in_union_audit</x:v>
      </x:c>
      <x:c r="F51" s="12" t="str">
        <x:v>proposed_requires_review</x:v>
      </x:c>
      <x:c r="G51" s="12" t="str">
        <x:v>union_exhaustive_pieces_paragraphes_4-5-6.xlsx</x:v>
      </x:c>
    </x:row>
    <x:row r="52">
      <x:c r="A52" s="12" t="str">
        <x:v>ChatMessages id=111-146</x:v>
      </x:c>
      <x:c r="B52" s="12" t="str">
        <x:v>ChatMessage</x:v>
      </x:c>
      <x:c r="C52" s="12" t="n">
        <x:v>122</x:v>
      </x:c>
      <x:c r="D52" s="12" t="str">
        <x:v>ChatMessage:122</x:v>
      </x:c>
      <x:c r="E52" s="12" t="str">
        <x:v>not_in_union_audit</x:v>
      </x:c>
      <x:c r="F52" s="12" t="str">
        <x:v>proposed_requires_review</x:v>
      </x:c>
      <x:c r="G52" s="12" t="str">
        <x:v>union_exhaustive_pieces_paragraphes_4-5-6.xlsx</x:v>
      </x:c>
    </x:row>
    <x:row r="53">
      <x:c r="A53" s="12" t="str">
        <x:v>ChatMessages id=111-146</x:v>
      </x:c>
      <x:c r="B53" s="12" t="str">
        <x:v>ChatMessage</x:v>
      </x:c>
      <x:c r="C53" s="12" t="n">
        <x:v>123</x:v>
      </x:c>
      <x:c r="D53" s="12" t="str">
        <x:v>ChatMessage:123</x:v>
      </x:c>
      <x:c r="E53" s="12" t="str">
        <x:v>not_in_union_audit</x:v>
      </x:c>
      <x:c r="F53" s="12" t="str">
        <x:v>proposed_requires_review</x:v>
      </x:c>
      <x:c r="G53" s="12" t="str">
        <x:v>union_exhaustive_pieces_paragraphes_4-5-6.xlsx</x:v>
      </x:c>
    </x:row>
    <x:row r="54">
      <x:c r="A54" s="12" t="str">
        <x:v>ChatMessages id=111-146</x:v>
      </x:c>
      <x:c r="B54" s="12" t="str">
        <x:v>ChatMessage</x:v>
      </x:c>
      <x:c r="C54" s="12" t="n">
        <x:v>124</x:v>
      </x:c>
      <x:c r="D54" s="12" t="str">
        <x:v>ChatMessage:124</x:v>
      </x:c>
      <x:c r="E54" s="12" t="str">
        <x:v>not_in_union_audit</x:v>
      </x:c>
      <x:c r="F54" s="12" t="str">
        <x:v>proposed_requires_review</x:v>
      </x:c>
      <x:c r="G54" s="12" t="str">
        <x:v>union_exhaustive_pieces_paragraphes_4-5-6.xlsx</x:v>
      </x:c>
    </x:row>
    <x:row r="55">
      <x:c r="A55" s="12" t="str">
        <x:v>ChatMessages id=111-146</x:v>
      </x:c>
      <x:c r="B55" s="12" t="str">
        <x:v>ChatMessage</x:v>
      </x:c>
      <x:c r="C55" s="12" t="n">
        <x:v>125</x:v>
      </x:c>
      <x:c r="D55" s="12" t="str">
        <x:v>ChatMessage:125</x:v>
      </x:c>
      <x:c r="E55" s="12" t="str">
        <x:v>not_in_union_audit</x:v>
      </x:c>
      <x:c r="F55" s="12" t="str">
        <x:v>proposed_requires_review</x:v>
      </x:c>
      <x:c r="G55" s="12" t="str">
        <x:v>union_exhaustive_pieces_paragraphes_4-5-6.xlsx</x:v>
      </x:c>
    </x:row>
    <x:row r="56">
      <x:c r="A56" s="12" t="str">
        <x:v>ChatMessages id=111-146</x:v>
      </x:c>
      <x:c r="B56" s="12" t="str">
        <x:v>ChatMessage</x:v>
      </x:c>
      <x:c r="C56" s="12" t="n">
        <x:v>126</x:v>
      </x:c>
      <x:c r="D56" s="12" t="str">
        <x:v>ChatMessage:126</x:v>
      </x:c>
      <x:c r="E56" s="12" t="str">
        <x:v>found</x:v>
      </x:c>
      <x:c r="F56" s="12" t="str">
        <x:v>proposed_requires_review</x:v>
      </x:c>
      <x:c r="G56" s="12" t="str">
        <x:v>union_exhaustive_pieces_paragraphes_4-5-6.xlsx</x:v>
      </x:c>
    </x:row>
    <x:row r="57">
      <x:c r="A57" s="12" t="str">
        <x:v>ChatMessages id=111-146</x:v>
      </x:c>
      <x:c r="B57" s="12" t="str">
        <x:v>ChatMessage</x:v>
      </x:c>
      <x:c r="C57" s="12" t="n">
        <x:v>127</x:v>
      </x:c>
      <x:c r="D57" s="12" t="str">
        <x:v>ChatMessage:127</x:v>
      </x:c>
      <x:c r="E57" s="12" t="str">
        <x:v>found</x:v>
      </x:c>
      <x:c r="F57" s="12" t="str">
        <x:v>proposed_requires_review</x:v>
      </x:c>
      <x:c r="G57" s="12" t="str">
        <x:v>union_exhaustive_pieces_paragraphes_4-5-6.xlsx</x:v>
      </x:c>
    </x:row>
    <x:row r="58">
      <x:c r="A58" s="12" t="str">
        <x:v>ChatMessages id=111-146</x:v>
      </x:c>
      <x:c r="B58" s="12" t="str">
        <x:v>ChatMessage</x:v>
      </x:c>
      <x:c r="C58" s="12" t="n">
        <x:v>128</x:v>
      </x:c>
      <x:c r="D58" s="12" t="str">
        <x:v>ChatMessage:128</x:v>
      </x:c>
      <x:c r="E58" s="12" t="str">
        <x:v>not_in_union_audit</x:v>
      </x:c>
      <x:c r="F58" s="12" t="str">
        <x:v>proposed_requires_review</x:v>
      </x:c>
      <x:c r="G58" s="12" t="str">
        <x:v>union_exhaustive_pieces_paragraphes_4-5-6.xlsx</x:v>
      </x:c>
    </x:row>
    <x:row r="59">
      <x:c r="A59" s="12" t="str">
        <x:v>ChatMessages id=111-146</x:v>
      </x:c>
      <x:c r="B59" s="12" t="str">
        <x:v>ChatMessage</x:v>
      </x:c>
      <x:c r="C59" s="12" t="n">
        <x:v>129</x:v>
      </x:c>
      <x:c r="D59" s="12" t="str">
        <x:v>ChatMessage:129</x:v>
      </x:c>
      <x:c r="E59" s="12" t="str">
        <x:v>found</x:v>
      </x:c>
      <x:c r="F59" s="12" t="str">
        <x:v>proposed_requires_review</x:v>
      </x:c>
      <x:c r="G59" s="12" t="str">
        <x:v>union_exhaustive_pieces_paragraphes_4-5-6.xlsx</x:v>
      </x:c>
    </x:row>
    <x:row r="60">
      <x:c r="A60" s="12" t="str">
        <x:v>ChatMessages id=111-146</x:v>
      </x:c>
      <x:c r="B60" s="12" t="str">
        <x:v>ChatMessage</x:v>
      </x:c>
      <x:c r="C60" s="12" t="n">
        <x:v>130</x:v>
      </x:c>
      <x:c r="D60" s="12" t="str">
        <x:v>ChatMessage:130</x:v>
      </x:c>
      <x:c r="E60" s="12" t="str">
        <x:v>not_in_union_audit</x:v>
      </x:c>
      <x:c r="F60" s="12" t="str">
        <x:v>proposed_requires_review</x:v>
      </x:c>
      <x:c r="G60" s="12" t="str">
        <x:v>union_exhaustive_pieces_paragraphes_4-5-6.xlsx</x:v>
      </x:c>
    </x:row>
    <x:row r="61">
      <x:c r="A61" s="12" t="str">
        <x:v>ChatMessages id=111-146</x:v>
      </x:c>
      <x:c r="B61" s="12" t="str">
        <x:v>ChatMessage</x:v>
      </x:c>
      <x:c r="C61" s="12" t="n">
        <x:v>131</x:v>
      </x:c>
      <x:c r="D61" s="12" t="str">
        <x:v>ChatMessage:131</x:v>
      </x:c>
      <x:c r="E61" s="12" t="str">
        <x:v>found</x:v>
      </x:c>
      <x:c r="F61" s="12" t="str">
        <x:v>proposed_requires_review</x:v>
      </x:c>
      <x:c r="G61" s="12" t="str">
        <x:v>union_exhaustive_pieces_paragraphes_4-5-6.xlsx</x:v>
      </x:c>
    </x:row>
    <x:row r="62">
      <x:c r="A62" s="12" t="str">
        <x:v>ChatMessages id=111-146</x:v>
      </x:c>
      <x:c r="B62" s="12" t="str">
        <x:v>ChatMessage</x:v>
      </x:c>
      <x:c r="C62" s="12" t="n">
        <x:v>132</x:v>
      </x:c>
      <x:c r="D62" s="12" t="str">
        <x:v>ChatMessage:132</x:v>
      </x:c>
      <x:c r="E62" s="12" t="str">
        <x:v>not_in_union_audit</x:v>
      </x:c>
      <x:c r="F62" s="12" t="str">
        <x:v>proposed_requires_review</x:v>
      </x:c>
      <x:c r="G62" s="12" t="str">
        <x:v>union_exhaustive_pieces_paragraphes_4-5-6.xlsx</x:v>
      </x:c>
    </x:row>
    <x:row r="63">
      <x:c r="A63" s="12" t="str">
        <x:v>ChatMessages id=111-146</x:v>
      </x:c>
      <x:c r="B63" s="12" t="str">
        <x:v>ChatMessage</x:v>
      </x:c>
      <x:c r="C63" s="12" t="n">
        <x:v>133</x:v>
      </x:c>
      <x:c r="D63" s="12" t="str">
        <x:v>ChatMessage:133</x:v>
      </x:c>
      <x:c r="E63" s="12" t="str">
        <x:v>found</x:v>
      </x:c>
      <x:c r="F63" s="12" t="str">
        <x:v>proposed_requires_review</x:v>
      </x:c>
      <x:c r="G63" s="12" t="str">
        <x:v>union_exhaustive_pieces_paragraphes_4-5-6.xlsx</x:v>
      </x:c>
    </x:row>
    <x:row r="64">
      <x:c r="A64" s="12" t="str">
        <x:v>ChatMessages id=111-146</x:v>
      </x:c>
      <x:c r="B64" s="12" t="str">
        <x:v>ChatMessage</x:v>
      </x:c>
      <x:c r="C64" s="12" t="n">
        <x:v>134</x:v>
      </x:c>
      <x:c r="D64" s="12" t="str">
        <x:v>ChatMessage:134</x:v>
      </x:c>
      <x:c r="E64" s="12" t="str">
        <x:v>not_in_union_audit</x:v>
      </x:c>
      <x:c r="F64" s="12" t="str">
        <x:v>proposed_requires_review</x:v>
      </x:c>
      <x:c r="G64" s="12" t="str">
        <x:v>union_exhaustive_pieces_paragraphes_4-5-6.xlsx</x:v>
      </x:c>
    </x:row>
    <x:row r="65">
      <x:c r="A65" s="12" t="str">
        <x:v>ChatMessages id=111-146</x:v>
      </x:c>
      <x:c r="B65" s="12" t="str">
        <x:v>ChatMessage</x:v>
      </x:c>
      <x:c r="C65" s="12" t="n">
        <x:v>135</x:v>
      </x:c>
      <x:c r="D65" s="12" t="str">
        <x:v>ChatMessage:135</x:v>
      </x:c>
      <x:c r="E65" s="12" t="str">
        <x:v>not_in_union_audit</x:v>
      </x:c>
      <x:c r="F65" s="12" t="str">
        <x:v>proposed_requires_review</x:v>
      </x:c>
      <x:c r="G65" s="12" t="str">
        <x:v>union_exhaustive_pieces_paragraphes_4-5-6.xlsx</x:v>
      </x:c>
    </x:row>
    <x:row r="66">
      <x:c r="A66" s="12" t="str">
        <x:v>ChatMessages id=111-146</x:v>
      </x:c>
      <x:c r="B66" s="12" t="str">
        <x:v>ChatMessage</x:v>
      </x:c>
      <x:c r="C66" s="12" t="n">
        <x:v>136</x:v>
      </x:c>
      <x:c r="D66" s="12" t="str">
        <x:v>ChatMessage:136</x:v>
      </x:c>
      <x:c r="E66" s="12" t="str">
        <x:v>not_in_union_audit</x:v>
      </x:c>
      <x:c r="F66" s="12" t="str">
        <x:v>proposed_requires_review</x:v>
      </x:c>
      <x:c r="G66" s="12" t="str">
        <x:v>union_exhaustive_pieces_paragraphes_4-5-6.xlsx</x:v>
      </x:c>
    </x:row>
    <x:row r="67">
      <x:c r="A67" s="12" t="str">
        <x:v>ChatMessages id=111-146</x:v>
      </x:c>
      <x:c r="B67" s="12" t="str">
        <x:v>ChatMessage</x:v>
      </x:c>
      <x:c r="C67" s="12" t="n">
        <x:v>137</x:v>
      </x:c>
      <x:c r="D67" s="12" t="str">
        <x:v>ChatMessage:137</x:v>
      </x:c>
      <x:c r="E67" s="12" t="str">
        <x:v>not_in_union_audit</x:v>
      </x:c>
      <x:c r="F67" s="12" t="str">
        <x:v>proposed_requires_review</x:v>
      </x:c>
      <x:c r="G67" s="12" t="str">
        <x:v>union_exhaustive_pieces_paragraphes_4-5-6.xlsx</x:v>
      </x:c>
    </x:row>
    <x:row r="68">
      <x:c r="A68" s="12" t="str">
        <x:v>ChatMessages id=111-146</x:v>
      </x:c>
      <x:c r="B68" s="12" t="str">
        <x:v>ChatMessage</x:v>
      </x:c>
      <x:c r="C68" s="12" t="n">
        <x:v>138</x:v>
      </x:c>
      <x:c r="D68" s="12" t="str">
        <x:v>ChatMessage:138</x:v>
      </x:c>
      <x:c r="E68" s="12" t="str">
        <x:v>found</x:v>
      </x:c>
      <x:c r="F68" s="12" t="str">
        <x:v>proposed_requires_review</x:v>
      </x:c>
      <x:c r="G68" s="12" t="str">
        <x:v>union_exhaustive_pieces_paragraphes_4-5-6.xlsx</x:v>
      </x:c>
    </x:row>
    <x:row r="69">
      <x:c r="A69" s="12" t="str">
        <x:v>ChatMessages id=111-146</x:v>
      </x:c>
      <x:c r="B69" s="12" t="str">
        <x:v>ChatMessage</x:v>
      </x:c>
      <x:c r="C69" s="12" t="n">
        <x:v>139</x:v>
      </x:c>
      <x:c r="D69" s="12" t="str">
        <x:v>ChatMessage:139</x:v>
      </x:c>
      <x:c r="E69" s="12" t="str">
        <x:v>not_in_union_audit</x:v>
      </x:c>
      <x:c r="F69" s="12" t="str">
        <x:v>proposed_requires_review</x:v>
      </x:c>
      <x:c r="G69" s="12" t="str">
        <x:v>union_exhaustive_pieces_paragraphes_4-5-6.xlsx</x:v>
      </x:c>
    </x:row>
    <x:row r="70">
      <x:c r="A70" s="12" t="str">
        <x:v>ChatMessages id=111-146</x:v>
      </x:c>
      <x:c r="B70" s="12" t="str">
        <x:v>ChatMessage</x:v>
      </x:c>
      <x:c r="C70" s="12" t="n">
        <x:v>140</x:v>
      </x:c>
      <x:c r="D70" s="12" t="str">
        <x:v>ChatMessage:140</x:v>
      </x:c>
      <x:c r="E70" s="12" t="str">
        <x:v>not_in_union_audit</x:v>
      </x:c>
      <x:c r="F70" s="12" t="str">
        <x:v>proposed_requires_review</x:v>
      </x:c>
      <x:c r="G70" s="12" t="str">
        <x:v>union_exhaustive_pieces_paragraphes_4-5-6.xlsx</x:v>
      </x:c>
    </x:row>
    <x:row r="71">
      <x:c r="A71" s="12" t="str">
        <x:v>ChatMessages id=111-146</x:v>
      </x:c>
      <x:c r="B71" s="12" t="str">
        <x:v>ChatMessage</x:v>
      </x:c>
      <x:c r="C71" s="12" t="n">
        <x:v>141</x:v>
      </x:c>
      <x:c r="D71" s="12" t="str">
        <x:v>ChatMessage:141</x:v>
      </x:c>
      <x:c r="E71" s="12" t="str">
        <x:v>not_in_union_audit</x:v>
      </x:c>
      <x:c r="F71" s="12" t="str">
        <x:v>proposed_requires_review</x:v>
      </x:c>
      <x:c r="G71" s="12" t="str">
        <x:v>union_exhaustive_pieces_paragraphes_4-5-6.xlsx</x:v>
      </x:c>
    </x:row>
    <x:row r="72">
      <x:c r="A72" s="12" t="str">
        <x:v>ChatMessages id=111-146</x:v>
      </x:c>
      <x:c r="B72" s="12" t="str">
        <x:v>ChatMessage</x:v>
      </x:c>
      <x:c r="C72" s="12" t="n">
        <x:v>142</x:v>
      </x:c>
      <x:c r="D72" s="12" t="str">
        <x:v>ChatMessage:142</x:v>
      </x:c>
      <x:c r="E72" s="12" t="str">
        <x:v>found</x:v>
      </x:c>
      <x:c r="F72" s="12" t="str">
        <x:v>proposed_requires_review</x:v>
      </x:c>
      <x:c r="G72" s="12" t="str">
        <x:v>union_exhaustive_pieces_paragraphes_4-5-6.xlsx</x:v>
      </x:c>
    </x:row>
    <x:row r="73">
      <x:c r="A73" s="12" t="str">
        <x:v>ChatMessages id=111-146</x:v>
      </x:c>
      <x:c r="B73" s="12" t="str">
        <x:v>ChatMessage</x:v>
      </x:c>
      <x:c r="C73" s="12" t="n">
        <x:v>143</x:v>
      </x:c>
      <x:c r="D73" s="12" t="str">
        <x:v>ChatMessage:143</x:v>
      </x:c>
      <x:c r="E73" s="12" t="str">
        <x:v>found</x:v>
      </x:c>
      <x:c r="F73" s="12" t="str">
        <x:v>proposed_requires_review</x:v>
      </x:c>
      <x:c r="G73" s="12" t="str">
        <x:v>union_exhaustive_pieces_paragraphes_4-5-6.xlsx</x:v>
      </x:c>
    </x:row>
    <x:row r="74">
      <x:c r="A74" s="12" t="str">
        <x:v>ChatMessages id=111-146</x:v>
      </x:c>
      <x:c r="B74" s="12" t="str">
        <x:v>ChatMessage</x:v>
      </x:c>
      <x:c r="C74" s="12" t="n">
        <x:v>144</x:v>
      </x:c>
      <x:c r="D74" s="12" t="str">
        <x:v>ChatMessage:144</x:v>
      </x:c>
      <x:c r="E74" s="12" t="str">
        <x:v>not_in_union_audit</x:v>
      </x:c>
      <x:c r="F74" s="12" t="str">
        <x:v>proposed_requires_review</x:v>
      </x:c>
      <x:c r="G74" s="12" t="str">
        <x:v>union_exhaustive_pieces_paragraphes_4-5-6.xlsx</x:v>
      </x:c>
    </x:row>
    <x:row r="75">
      <x:c r="A75" s="12" t="str">
        <x:v>ChatMessages id=111-146</x:v>
      </x:c>
      <x:c r="B75" s="12" t="str">
        <x:v>ChatMessage</x:v>
      </x:c>
      <x:c r="C75" s="12" t="n">
        <x:v>145</x:v>
      </x:c>
      <x:c r="D75" s="12" t="str">
        <x:v>ChatMessage:145</x:v>
      </x:c>
      <x:c r="E75" s="12" t="str">
        <x:v>found</x:v>
      </x:c>
      <x:c r="F75" s="12" t="str">
        <x:v>proposed_requires_review</x:v>
      </x:c>
      <x:c r="G75" s="12" t="str">
        <x:v>union_exhaustive_pieces_paragraphes_4-5-6.xlsx</x:v>
      </x:c>
    </x:row>
    <x:row r="76">
      <x:c r="A76" s="12" t="str">
        <x:v>ChatMessages id=111-146</x:v>
      </x:c>
      <x:c r="B76" s="12" t="str">
        <x:v>ChatMessage</x:v>
      </x:c>
      <x:c r="C76" s="12" t="n">
        <x:v>146</x:v>
      </x:c>
      <x:c r="D76" s="12" t="str">
        <x:v>ChatMessage:146</x:v>
      </x:c>
      <x:c r="E76" s="12" t="str">
        <x:v>found</x:v>
      </x:c>
      <x:c r="F76" s="12" t="str">
        <x:v>proposed_requires_review</x:v>
      </x:c>
      <x:c r="G76" s="12" t="str">
        <x:v>union_exhaustive_pieces_paragraphes_4-5-6.xlsx</x:v>
      </x:c>
    </x:row>
    <x:row r="77">
      <x:c r="A77" s="12" t="str">
        <x:v>ChatMessages id=111–311</x:v>
      </x:c>
      <x:c r="B77" s="12" t="str">
        <x:v>ChatMessage</x:v>
      </x:c>
      <x:c r="C77" s="12" t="str"/>
      <x:c r="D77" s="12" t="str"/>
      <x:c r="E77" s="12" t="str">
        <x:v>not_expanded</x:v>
      </x:c>
      <x:c r="F77" s="12" t="str">
        <x:v>range_too_large_or_invalid</x:v>
      </x:c>
      <x:c r="G77" s="12" t="str">
        <x:v>2015_par_7.md | inventaire_union_paragraphe7_revise_axes.xlsx | union_exhaustive_pieces_paragraphes_4-5-6.xlsx</x:v>
      </x:c>
    </x:row>
    <x:row r="78">
      <x:c r="A78" s="12" t="str">
        <x:v>Email id=361 à 364 , 375 , 387 , 388 , 390 , 391 , 393 , 394 , 396 , 397 , 398</x:v>
      </x:c>
      <x:c r="B78" s="12" t="str">
        <x:v>Email</x:v>
      </x:c>
      <x:c r="C78" s="12" t="n">
        <x:v>361</x:v>
      </x:c>
      <x:c r="D78" s="12" t="str">
        <x:v>Email:361</x:v>
      </x:c>
      <x:c r="E78" s="12" t="str">
        <x:v>found</x:v>
      </x:c>
      <x:c r="F78" s="12" t="str">
        <x:v>proposed_requires_review</x:v>
      </x:c>
      <x:c r="G78" s="12" t="str">
        <x:v>2015_par_7.md</x:v>
      </x:c>
    </x:row>
    <x:row r="79">
      <x:c r="A79" s="12" t="str">
        <x:v>Email id=361 à 364 , 375 , 387 , 388 , 390 , 391 , 393 , 394 , 396 , 397 , 398</x:v>
      </x:c>
      <x:c r="B79" s="12" t="str">
        <x:v>Email</x:v>
      </x:c>
      <x:c r="C79" s="12" t="n">
        <x:v>362</x:v>
      </x:c>
      <x:c r="D79" s="12" t="str">
        <x:v>Email:362</x:v>
      </x:c>
      <x:c r="E79" s="12" t="str">
        <x:v>found</x:v>
      </x:c>
      <x:c r="F79" s="12" t="str">
        <x:v>proposed_requires_review</x:v>
      </x:c>
      <x:c r="G79" s="12" t="str">
        <x:v>2015_par_7.md</x:v>
      </x:c>
    </x:row>
    <x:row r="80">
      <x:c r="A80" s="12" t="str">
        <x:v>Email id=361 à 364 , 375 , 387 , 388 , 390 , 391 , 393 , 394 , 396 , 397 , 398</x:v>
      </x:c>
      <x:c r="B80" s="12" t="str">
        <x:v>Email</x:v>
      </x:c>
      <x:c r="C80" s="12" t="n">
        <x:v>363</x:v>
      </x:c>
      <x:c r="D80" s="12" t="str">
        <x:v>Email:363</x:v>
      </x:c>
      <x:c r="E80" s="12" t="str">
        <x:v>found</x:v>
      </x:c>
      <x:c r="F80" s="12" t="str">
        <x:v>proposed_requires_review</x:v>
      </x:c>
      <x:c r="G80" s="12" t="str">
        <x:v>2015_par_7.md</x:v>
      </x:c>
    </x:row>
    <x:row r="81">
      <x:c r="A81" s="12" t="str">
        <x:v>Email id=361 à 364 , 375 , 387 , 388 , 390 , 391 , 393 , 394 , 396 , 397 , 398</x:v>
      </x:c>
      <x:c r="B81" s="12" t="str">
        <x:v>Email</x:v>
      </x:c>
      <x:c r="C81" s="12" t="n">
        <x:v>364</x:v>
      </x:c>
      <x:c r="D81" s="12" t="str">
        <x:v>Email:364</x:v>
      </x:c>
      <x:c r="E81" s="12" t="str">
        <x:v>found</x:v>
      </x:c>
      <x:c r="F81" s="12" t="str">
        <x:v>proposed_requires_review</x:v>
      </x:c>
      <x:c r="G81" s="12" t="str">
        <x:v>2015_par_7.md</x:v>
      </x:c>
    </x:row>
    <x:row r="82">
      <x:c r="A82" s="12" t="str">
        <x:v>Email id=361 à 364 , 375 , 387 , 388 , 390 , 391 , 393 , 394 , 396 , 397 , 398</x:v>
      </x:c>
      <x:c r="B82" s="12" t="str">
        <x:v>Email</x:v>
      </x:c>
      <x:c r="C82" s="12" t="n">
        <x:v>375</x:v>
      </x:c>
      <x:c r="D82" s="12" t="str">
        <x:v>Email:375</x:v>
      </x:c>
      <x:c r="E82" s="12" t="str">
        <x:v>found</x:v>
      </x:c>
      <x:c r="F82" s="12" t="str">
        <x:v>proposed_requires_review</x:v>
      </x:c>
      <x:c r="G82" s="12" t="str">
        <x:v>2015_par_7.md</x:v>
      </x:c>
    </x:row>
    <x:row r="83">
      <x:c r="A83" s="12" t="str">
        <x:v>Email id=361 à 364 , 375 , 387 , 388 , 390 , 391 , 393 , 394 , 396 , 397 , 398</x:v>
      </x:c>
      <x:c r="B83" s="12" t="str">
        <x:v>Email</x:v>
      </x:c>
      <x:c r="C83" s="12" t="n">
        <x:v>387</x:v>
      </x:c>
      <x:c r="D83" s="12" t="str">
        <x:v>Email:387</x:v>
      </x:c>
      <x:c r="E83" s="12" t="str">
        <x:v>found</x:v>
      </x:c>
      <x:c r="F83" s="12" t="str">
        <x:v>proposed_requires_review</x:v>
      </x:c>
      <x:c r="G83" s="12" t="str">
        <x:v>2015_par_7.md</x:v>
      </x:c>
    </x:row>
    <x:row r="84">
      <x:c r="A84" s="12" t="str">
        <x:v>Email id=361 à 364 , 375 , 387 , 388 , 390 , 391 , 393 , 394 , 396 , 397 , 398</x:v>
      </x:c>
      <x:c r="B84" s="12" t="str">
        <x:v>Email</x:v>
      </x:c>
      <x:c r="C84" s="12" t="n">
        <x:v>388</x:v>
      </x:c>
      <x:c r="D84" s="12" t="str">
        <x:v>Email:388</x:v>
      </x:c>
      <x:c r="E84" s="12" t="str">
        <x:v>found</x:v>
      </x:c>
      <x:c r="F84" s="12" t="str">
        <x:v>proposed_requires_review</x:v>
      </x:c>
      <x:c r="G84" s="12" t="str">
        <x:v>2015_par_7.md</x:v>
      </x:c>
    </x:row>
    <x:row r="85">
      <x:c r="A85" s="12" t="str">
        <x:v>Email id=361 à 364 , 375 , 387 , 388 , 390 , 391 , 393 , 394 , 396 , 397 , 398</x:v>
      </x:c>
      <x:c r="B85" s="12" t="str">
        <x:v>Email</x:v>
      </x:c>
      <x:c r="C85" s="12" t="n">
        <x:v>390</x:v>
      </x:c>
      <x:c r="D85" s="12" t="str">
        <x:v>Email:390</x:v>
      </x:c>
      <x:c r="E85" s="12" t="str">
        <x:v>found</x:v>
      </x:c>
      <x:c r="F85" s="12" t="str">
        <x:v>proposed_requires_review</x:v>
      </x:c>
      <x:c r="G85" s="12" t="str">
        <x:v>2015_par_7.md</x:v>
      </x:c>
    </x:row>
    <x:row r="86">
      <x:c r="A86" s="12" t="str">
        <x:v>Email id=361 à 364 , 375 , 387 , 388 , 390 , 391 , 393 , 394 , 396 , 397 , 398</x:v>
      </x:c>
      <x:c r="B86" s="12" t="str">
        <x:v>Email</x:v>
      </x:c>
      <x:c r="C86" s="12" t="n">
        <x:v>391</x:v>
      </x:c>
      <x:c r="D86" s="12" t="str">
        <x:v>Email:391</x:v>
      </x:c>
      <x:c r="E86" s="12" t="str">
        <x:v>found</x:v>
      </x:c>
      <x:c r="F86" s="12" t="str">
        <x:v>proposed_requires_review</x:v>
      </x:c>
      <x:c r="G86" s="12" t="str">
        <x:v>2015_par_7.md</x:v>
      </x:c>
    </x:row>
    <x:row r="87">
      <x:c r="A87" s="12" t="str">
        <x:v>Email id=361 à 364 , 375 , 387 , 388 , 390 , 391 , 393 , 394 , 396 , 397 , 398</x:v>
      </x:c>
      <x:c r="B87" s="12" t="str">
        <x:v>Email</x:v>
      </x:c>
      <x:c r="C87" s="12" t="n">
        <x:v>393</x:v>
      </x:c>
      <x:c r="D87" s="12" t="str">
        <x:v>Email:393</x:v>
      </x:c>
      <x:c r="E87" s="12" t="str">
        <x:v>found</x:v>
      </x:c>
      <x:c r="F87" s="12" t="str">
        <x:v>proposed_requires_review</x:v>
      </x:c>
      <x:c r="G87" s="12" t="str">
        <x:v>2015_par_7.md</x:v>
      </x:c>
    </x:row>
    <x:row r="88">
      <x:c r="A88" s="12" t="str">
        <x:v>Email id=361 à 364 , 375 , 387 , 388 , 390 , 391 , 393 , 394 , 396 , 397 , 398</x:v>
      </x:c>
      <x:c r="B88" s="12" t="str">
        <x:v>Email</x:v>
      </x:c>
      <x:c r="C88" s="12" t="n">
        <x:v>394</x:v>
      </x:c>
      <x:c r="D88" s="12" t="str">
        <x:v>Email:394</x:v>
      </x:c>
      <x:c r="E88" s="12" t="str">
        <x:v>found</x:v>
      </x:c>
      <x:c r="F88" s="12" t="str">
        <x:v>proposed_requires_review</x:v>
      </x:c>
      <x:c r="G88" s="12" t="str">
        <x:v>2015_par_7.md</x:v>
      </x:c>
    </x:row>
    <x:row r="89">
      <x:c r="A89" s="12" t="str">
        <x:v>Email id=361 à 364 , 375 , 387 , 388 , 390 , 391 , 393 , 394 , 396 , 397 , 398</x:v>
      </x:c>
      <x:c r="B89" s="12" t="str">
        <x:v>Email</x:v>
      </x:c>
      <x:c r="C89" s="12" t="n">
        <x:v>396</x:v>
      </x:c>
      <x:c r="D89" s="12" t="str">
        <x:v>Email:396</x:v>
      </x:c>
      <x:c r="E89" s="12" t="str">
        <x:v>found</x:v>
      </x:c>
      <x:c r="F89" s="12" t="str">
        <x:v>proposed_requires_review</x:v>
      </x:c>
      <x:c r="G89" s="12" t="str">
        <x:v>2015_par_7.md</x:v>
      </x:c>
    </x:row>
    <x:row r="90">
      <x:c r="A90" s="12" t="str">
        <x:v>Email id=361 à 364 , 375 , 387 , 388 , 390 , 391 , 393 , 394 , 396 , 397 , 398</x:v>
      </x:c>
      <x:c r="B90" s="12" t="str">
        <x:v>Email</x:v>
      </x:c>
      <x:c r="C90" s="12" t="n">
        <x:v>397</x:v>
      </x:c>
      <x:c r="D90" s="12" t="str">
        <x:v>Email:397</x:v>
      </x:c>
      <x:c r="E90" s="12" t="str">
        <x:v>found</x:v>
      </x:c>
      <x:c r="F90" s="12" t="str">
        <x:v>proposed_requires_review</x:v>
      </x:c>
      <x:c r="G90" s="12" t="str">
        <x:v>2015_par_7.md</x:v>
      </x:c>
    </x:row>
    <x:row r="91">
      <x:c r="A91" s="12" t="str">
        <x:v>Email id=361 à 364 , 375 , 387 , 388 , 390 , 391 , 393 , 394 , 396 , 397 , 398</x:v>
      </x:c>
      <x:c r="B91" s="12" t="str">
        <x:v>Email</x:v>
      </x:c>
      <x:c r="C91" s="12" t="n">
        <x:v>398</x:v>
      </x:c>
      <x:c r="D91" s="12" t="str">
        <x:v>Email:398</x:v>
      </x:c>
      <x:c r="E91" s="12" t="str">
        <x:v>found</x:v>
      </x:c>
      <x:c r="F91" s="12" t="str">
        <x:v>proposed_requires_review</x:v>
      </x:c>
      <x:c r="G91" s="12" t="str">
        <x:v>2015_par_7.md</x:v>
      </x:c>
    </x:row>
    <x:row r="92">
      <x:c r="A92" s="12" t="str">
        <x:v>Email id=53/488</x:v>
      </x:c>
      <x:c r="B92" s="12" t="str">
        <x:v>Email</x:v>
      </x:c>
      <x:c r="C92" s="12" t="str"/>
      <x:c r="D92" s="12" t="str"/>
      <x:c r="E92" s="12" t="str">
        <x:v>not_expanded</x:v>
      </x:c>
      <x:c r="F92" s="12" t="str">
        <x:v>ambiguous_slash</x:v>
      </x:c>
      <x:c r="G92" s="12" t="str">
        <x:v>2015_par_14_17.md | consolidation_pieces_par14-17_2015.xlsx | rapport_union_pieces_par14-17_2015.md | union_pieces_par14-17_2015.csv</x:v>
      </x:c>
    </x:row>
    <x:row r="93">
      <x:c r="A93" s="12" t="str">
        <x:v>Emails id=53/488</x:v>
      </x:c>
      <x:c r="B93" s="12" t="str">
        <x:v>Email</x:v>
      </x:c>
      <x:c r="C93" s="12" t="str"/>
      <x:c r="D93" s="12" t="str"/>
      <x:c r="E93" s="12" t="str">
        <x:v>not_expanded</x:v>
      </x:c>
      <x:c r="F93" s="12" t="str">
        <x:v>ambiguous_slash</x:v>
      </x:c>
      <x:c r="G93" s="12" t="str">
        <x:v>union_exhaustive_pieces_paragraphes_4-5-6.xlsx</x:v>
      </x:c>
    </x:row>
    <x:row r="94">
      <x:c r="A94" s="12" t="str">
        <x:v>Event id=255/256</x:v>
      </x:c>
      <x:c r="B94" s="12" t="str">
        <x:v>Event</x:v>
      </x:c>
      <x:c r="C94" s="12" t="str"/>
      <x:c r="D94" s="12" t="str"/>
      <x:c r="E94" s="12" t="str">
        <x:v>not_expanded</x:v>
      </x:c>
      <x:c r="F94" s="12" t="str">
        <x:v>ambiguous_slash</x:v>
      </x:c>
      <x:c r="G94" s="12" t="str">
        <x:v>2015_par_7.md | union_exhaustive_pieces_paragraphes_4-5-6.xlsx</x:v>
      </x:c>
    </x:row>
    <x:row r="95">
      <x:c r="A95" s="12" t="str">
        <x:v>Event id=94 à 103</x:v>
      </x:c>
      <x:c r="B95" s="12" t="str">
        <x:v>Event</x:v>
      </x:c>
      <x:c r="C95" s="12" t="n">
        <x:v>94</x:v>
      </x:c>
      <x:c r="D95" s="12" t="str">
        <x:v>Event:94</x:v>
      </x:c>
      <x:c r="E95" s="12" t="str">
        <x:v>found</x:v>
      </x:c>
      <x:c r="F95" s="12" t="str">
        <x:v>proposed_requires_review</x:v>
      </x:c>
      <x:c r="G95" s="12" t="str">
        <x:v>2015_par_7.md</x:v>
      </x:c>
    </x:row>
    <x:row r="96">
      <x:c r="A96" s="12" t="str">
        <x:v>Event id=94 à 103</x:v>
      </x:c>
      <x:c r="B96" s="12" t="str">
        <x:v>Event</x:v>
      </x:c>
      <x:c r="C96" s="12" t="n">
        <x:v>95</x:v>
      </x:c>
      <x:c r="D96" s="12" t="str">
        <x:v>Event:95</x:v>
      </x:c>
      <x:c r="E96" s="12" t="str">
        <x:v>found</x:v>
      </x:c>
      <x:c r="F96" s="12" t="str">
        <x:v>proposed_requires_review</x:v>
      </x:c>
      <x:c r="G96" s="12" t="str">
        <x:v>2015_par_7.md</x:v>
      </x:c>
    </x:row>
    <x:row r="97">
      <x:c r="A97" s="12" t="str">
        <x:v>Event id=94 à 103</x:v>
      </x:c>
      <x:c r="B97" s="12" t="str">
        <x:v>Event</x:v>
      </x:c>
      <x:c r="C97" s="12" t="n">
        <x:v>96</x:v>
      </x:c>
      <x:c r="D97" s="12" t="str">
        <x:v>Event:96</x:v>
      </x:c>
      <x:c r="E97" s="12" t="str">
        <x:v>found</x:v>
      </x:c>
      <x:c r="F97" s="12" t="str">
        <x:v>proposed_requires_review</x:v>
      </x:c>
      <x:c r="G97" s="12" t="str">
        <x:v>2015_par_7.md</x:v>
      </x:c>
    </x:row>
    <x:row r="98">
      <x:c r="A98" s="12" t="str">
        <x:v>Event id=94 à 103</x:v>
      </x:c>
      <x:c r="B98" s="12" t="str">
        <x:v>Event</x:v>
      </x:c>
      <x:c r="C98" s="12" t="n">
        <x:v>97</x:v>
      </x:c>
      <x:c r="D98" s="12" t="str">
        <x:v>Event:97</x:v>
      </x:c>
      <x:c r="E98" s="12" t="str">
        <x:v>found</x:v>
      </x:c>
      <x:c r="F98" s="12" t="str">
        <x:v>proposed_requires_review</x:v>
      </x:c>
      <x:c r="G98" s="12" t="str">
        <x:v>2015_par_7.md</x:v>
      </x:c>
    </x:row>
    <x:row r="99">
      <x:c r="A99" s="12" t="str">
        <x:v>Event id=94 à 103</x:v>
      </x:c>
      <x:c r="B99" s="12" t="str">
        <x:v>Event</x:v>
      </x:c>
      <x:c r="C99" s="12" t="n">
        <x:v>98</x:v>
      </x:c>
      <x:c r="D99" s="12" t="str">
        <x:v>Event:98</x:v>
      </x:c>
      <x:c r="E99" s="12" t="str">
        <x:v>found</x:v>
      </x:c>
      <x:c r="F99" s="12" t="str">
        <x:v>proposed_requires_review</x:v>
      </x:c>
      <x:c r="G99" s="12" t="str">
        <x:v>2015_par_7.md</x:v>
      </x:c>
    </x:row>
    <x:row r="100">
      <x:c r="A100" s="12" t="str">
        <x:v>Event id=94 à 103</x:v>
      </x:c>
      <x:c r="B100" s="12" t="str">
        <x:v>Event</x:v>
      </x:c>
      <x:c r="C100" s="12" t="n">
        <x:v>99</x:v>
      </x:c>
      <x:c r="D100" s="12" t="str">
        <x:v>Event:99</x:v>
      </x:c>
      <x:c r="E100" s="12" t="str">
        <x:v>found</x:v>
      </x:c>
      <x:c r="F100" s="12" t="str">
        <x:v>proposed_requires_review</x:v>
      </x:c>
      <x:c r="G100" s="12" t="str">
        <x:v>2015_par_7.md</x:v>
      </x:c>
    </x:row>
    <x:row r="101">
      <x:c r="A101" s="12" t="str">
        <x:v>Event id=94 à 103</x:v>
      </x:c>
      <x:c r="B101" s="12" t="str">
        <x:v>Event</x:v>
      </x:c>
      <x:c r="C101" s="12" t="n">
        <x:v>100</x:v>
      </x:c>
      <x:c r="D101" s="12" t="str">
        <x:v>Event:100</x:v>
      </x:c>
      <x:c r="E101" s="12" t="str">
        <x:v>found</x:v>
      </x:c>
      <x:c r="F101" s="12" t="str">
        <x:v>proposed_requires_review</x:v>
      </x:c>
      <x:c r="G101" s="12" t="str">
        <x:v>2015_par_7.md</x:v>
      </x:c>
    </x:row>
    <x:row r="102">
      <x:c r="A102" s="12" t="str">
        <x:v>Event id=94 à 103</x:v>
      </x:c>
      <x:c r="B102" s="12" t="str">
        <x:v>Event</x:v>
      </x:c>
      <x:c r="C102" s="12" t="n">
        <x:v>101</x:v>
      </x:c>
      <x:c r="D102" s="12" t="str">
        <x:v>Event:101</x:v>
      </x:c>
      <x:c r="E102" s="12" t="str">
        <x:v>found</x:v>
      </x:c>
      <x:c r="F102" s="12" t="str">
        <x:v>proposed_requires_review</x:v>
      </x:c>
      <x:c r="G102" s="12" t="str">
        <x:v>2015_par_7.md</x:v>
      </x:c>
    </x:row>
    <x:row r="103">
      <x:c r="A103" s="12" t="str">
        <x:v>Event id=94 à 103</x:v>
      </x:c>
      <x:c r="B103" s="12" t="str">
        <x:v>Event</x:v>
      </x:c>
      <x:c r="C103" s="12" t="n">
        <x:v>102</x:v>
      </x:c>
      <x:c r="D103" s="12" t="str">
        <x:v>Event:102</x:v>
      </x:c>
      <x:c r="E103" s="12" t="str">
        <x:v>found</x:v>
      </x:c>
      <x:c r="F103" s="12" t="str">
        <x:v>proposed_requires_review</x:v>
      </x:c>
      <x:c r="G103" s="12" t="str">
        <x:v>2015_par_7.md</x:v>
      </x:c>
    </x:row>
    <x:row r="104">
      <x:c r="A104" s="12" t="str">
        <x:v>Event id=94 à 103</x:v>
      </x:c>
      <x:c r="B104" s="12" t="str">
        <x:v>Event</x:v>
      </x:c>
      <x:c r="C104" s="12" t="n">
        <x:v>103</x:v>
      </x:c>
      <x:c r="D104" s="12" t="str">
        <x:v>Event:103</x:v>
      </x:c>
      <x:c r="E104" s="12" t="str">
        <x:v>found</x:v>
      </x:c>
      <x:c r="F104" s="12" t="str">
        <x:v>proposed_requires_review</x:v>
      </x:c>
      <x:c r="G104" s="12" t="str">
        <x:v>2015_par_7.md</x:v>
      </x:c>
    </x:row>
    <x:row r="105">
      <x:c r="A105" s="12" t="str">
        <x:v>Events id=171-180</x:v>
      </x:c>
      <x:c r="B105" s="12" t="str">
        <x:v>Event</x:v>
      </x:c>
      <x:c r="C105" s="12" t="n">
        <x:v>171</x:v>
      </x:c>
      <x:c r="D105" s="12" t="str">
        <x:v>Event:171</x:v>
      </x:c>
      <x:c r="E105" s="12" t="str">
        <x:v>found</x:v>
      </x:c>
      <x:c r="F105" s="12" t="str">
        <x:v>proposed_requires_review</x:v>
      </x:c>
      <x:c r="G105" s="12" t="str">
        <x:v>union_exhaustive_pieces_paragraphes_4-5-6.xlsx</x:v>
      </x:c>
    </x:row>
    <x:row r="106">
      <x:c r="A106" s="12" t="str">
        <x:v>Events id=171-180</x:v>
      </x:c>
      <x:c r="B106" s="12" t="str">
        <x:v>Event</x:v>
      </x:c>
      <x:c r="C106" s="12" t="n">
        <x:v>172</x:v>
      </x:c>
      <x:c r="D106" s="12" t="str">
        <x:v>Event:172</x:v>
      </x:c>
      <x:c r="E106" s="12" t="str">
        <x:v>found</x:v>
      </x:c>
      <x:c r="F106" s="12" t="str">
        <x:v>proposed_requires_review</x:v>
      </x:c>
      <x:c r="G106" s="12" t="str">
        <x:v>union_exhaustive_pieces_paragraphes_4-5-6.xlsx</x:v>
      </x:c>
    </x:row>
    <x:row r="107">
      <x:c r="A107" s="12" t="str">
        <x:v>Events id=171-180</x:v>
      </x:c>
      <x:c r="B107" s="12" t="str">
        <x:v>Event</x:v>
      </x:c>
      <x:c r="C107" s="12" t="n">
        <x:v>173</x:v>
      </x:c>
      <x:c r="D107" s="12" t="str">
        <x:v>Event:173</x:v>
      </x:c>
      <x:c r="E107" s="12" t="str">
        <x:v>not_in_union_audit</x:v>
      </x:c>
      <x:c r="F107" s="12" t="str">
        <x:v>proposed_requires_review</x:v>
      </x:c>
      <x:c r="G107" s="12" t="str">
        <x:v>union_exhaustive_pieces_paragraphes_4-5-6.xlsx</x:v>
      </x:c>
    </x:row>
    <x:row r="108">
      <x:c r="A108" s="12" t="str">
        <x:v>Events id=171-180</x:v>
      </x:c>
      <x:c r="B108" s="12" t="str">
        <x:v>Event</x:v>
      </x:c>
      <x:c r="C108" s="12" t="n">
        <x:v>174</x:v>
      </x:c>
      <x:c r="D108" s="12" t="str">
        <x:v>Event:174</x:v>
      </x:c>
      <x:c r="E108" s="12" t="str">
        <x:v>not_in_union_audit</x:v>
      </x:c>
      <x:c r="F108" s="12" t="str">
        <x:v>proposed_requires_review</x:v>
      </x:c>
      <x:c r="G108" s="12" t="str">
        <x:v>union_exhaustive_pieces_paragraphes_4-5-6.xlsx</x:v>
      </x:c>
    </x:row>
    <x:row r="109">
      <x:c r="A109" s="12" t="str">
        <x:v>Events id=171-180</x:v>
      </x:c>
      <x:c r="B109" s="12" t="str">
        <x:v>Event</x:v>
      </x:c>
      <x:c r="C109" s="12" t="n">
        <x:v>175</x:v>
      </x:c>
      <x:c r="D109" s="12" t="str">
        <x:v>Event:175</x:v>
      </x:c>
      <x:c r="E109" s="12" t="str">
        <x:v>not_in_union_audit</x:v>
      </x:c>
      <x:c r="F109" s="12" t="str">
        <x:v>proposed_requires_review</x:v>
      </x:c>
      <x:c r="G109" s="12" t="str">
        <x:v>union_exhaustive_pieces_paragraphes_4-5-6.xlsx</x:v>
      </x:c>
    </x:row>
    <x:row r="110">
      <x:c r="A110" s="12" t="str">
        <x:v>Events id=171-180</x:v>
      </x:c>
      <x:c r="B110" s="12" t="str">
        <x:v>Event</x:v>
      </x:c>
      <x:c r="C110" s="12" t="n">
        <x:v>176</x:v>
      </x:c>
      <x:c r="D110" s="12" t="str">
        <x:v>Event:176</x:v>
      </x:c>
      <x:c r="E110" s="12" t="str">
        <x:v>not_in_union_audit</x:v>
      </x:c>
      <x:c r="F110" s="12" t="str">
        <x:v>proposed_requires_review</x:v>
      </x:c>
      <x:c r="G110" s="12" t="str">
        <x:v>union_exhaustive_pieces_paragraphes_4-5-6.xlsx</x:v>
      </x:c>
    </x:row>
    <x:row r="111">
      <x:c r="A111" s="12" t="str">
        <x:v>Events id=171-180</x:v>
      </x:c>
      <x:c r="B111" s="12" t="str">
        <x:v>Event</x:v>
      </x:c>
      <x:c r="C111" s="12" t="n">
        <x:v>177</x:v>
      </x:c>
      <x:c r="D111" s="12" t="str">
        <x:v>Event:177</x:v>
      </x:c>
      <x:c r="E111" s="12" t="str">
        <x:v>not_in_union_audit</x:v>
      </x:c>
      <x:c r="F111" s="12" t="str">
        <x:v>proposed_requires_review</x:v>
      </x:c>
      <x:c r="G111" s="12" t="str">
        <x:v>union_exhaustive_pieces_paragraphes_4-5-6.xlsx</x:v>
      </x:c>
    </x:row>
    <x:row r="112">
      <x:c r="A112" s="12" t="str">
        <x:v>Events id=171-180</x:v>
      </x:c>
      <x:c r="B112" s="12" t="str">
        <x:v>Event</x:v>
      </x:c>
      <x:c r="C112" s="12" t="n">
        <x:v>178</x:v>
      </x:c>
      <x:c r="D112" s="12" t="str">
        <x:v>Event:178</x:v>
      </x:c>
      <x:c r="E112" s="12" t="str">
        <x:v>found</x:v>
      </x:c>
      <x:c r="F112" s="12" t="str">
        <x:v>proposed_requires_review</x:v>
      </x:c>
      <x:c r="G112" s="12" t="str">
        <x:v>union_exhaustive_pieces_paragraphes_4-5-6.xlsx</x:v>
      </x:c>
    </x:row>
    <x:row r="113">
      <x:c r="A113" s="12" t="str">
        <x:v>Events id=171-180</x:v>
      </x:c>
      <x:c r="B113" s="12" t="str">
        <x:v>Event</x:v>
      </x:c>
      <x:c r="C113" s="12" t="n">
        <x:v>179</x:v>
      </x:c>
      <x:c r="D113" s="12" t="str">
        <x:v>Event:179</x:v>
      </x:c>
      <x:c r="E113" s="12" t="str">
        <x:v>found</x:v>
      </x:c>
      <x:c r="F113" s="12" t="str">
        <x:v>proposed_requires_review</x:v>
      </x:c>
      <x:c r="G113" s="12" t="str">
        <x:v>union_exhaustive_pieces_paragraphes_4-5-6.xlsx</x:v>
      </x:c>
    </x:row>
    <x:row r="114">
      <x:c r="A114" s="12" t="str">
        <x:v>Events id=171-180</x:v>
      </x:c>
      <x:c r="B114" s="12" t="str">
        <x:v>Event</x:v>
      </x:c>
      <x:c r="C114" s="12" t="n">
        <x:v>180</x:v>
      </x:c>
      <x:c r="D114" s="12" t="str">
        <x:v>Event:180</x:v>
      </x:c>
      <x:c r="E114" s="12" t="str">
        <x:v>found</x:v>
      </x:c>
      <x:c r="F114" s="12" t="str">
        <x:v>proposed_requires_review</x:v>
      </x:c>
      <x:c r="G114" s="12" t="str">
        <x:v>union_exhaustive_pieces_paragraphes_4-5-6.xlsx</x:v>
      </x:c>
    </x:row>
    <x:row r="115">
      <x:c r="A115" s="12" t="str">
        <x:v>Events id=235-240</x:v>
      </x:c>
      <x:c r="B115" s="12" t="str">
        <x:v>Event</x:v>
      </x:c>
      <x:c r="C115" s="12" t="n">
        <x:v>235</x:v>
      </x:c>
      <x:c r="D115" s="12" t="str">
        <x:v>Event:235</x:v>
      </x:c>
      <x:c r="E115" s="12" t="str">
        <x:v>found</x:v>
      </x:c>
      <x:c r="F115" s="12" t="str">
        <x:v>proposed_requires_review</x:v>
      </x:c>
      <x:c r="G115" s="12" t="str">
        <x:v>union_exhaustive_pieces_paragraphes_4-5-6.xlsx</x:v>
      </x:c>
    </x:row>
    <x:row r="116">
      <x:c r="A116" s="12" t="str">
        <x:v>Events id=235-240</x:v>
      </x:c>
      <x:c r="B116" s="12" t="str">
        <x:v>Event</x:v>
      </x:c>
      <x:c r="C116" s="12" t="n">
        <x:v>236</x:v>
      </x:c>
      <x:c r="D116" s="12" t="str">
        <x:v>Event:236</x:v>
      </x:c>
      <x:c r="E116" s="12" t="str">
        <x:v>not_in_union_audit</x:v>
      </x:c>
      <x:c r="F116" s="12" t="str">
        <x:v>proposed_requires_review</x:v>
      </x:c>
      <x:c r="G116" s="12" t="str">
        <x:v>union_exhaustive_pieces_paragraphes_4-5-6.xlsx</x:v>
      </x:c>
    </x:row>
    <x:row r="117">
      <x:c r="A117" s="12" t="str">
        <x:v>Events id=235-240</x:v>
      </x:c>
      <x:c r="B117" s="12" t="str">
        <x:v>Event</x:v>
      </x:c>
      <x:c r="C117" s="12" t="n">
        <x:v>237</x:v>
      </x:c>
      <x:c r="D117" s="12" t="str">
        <x:v>Event:237</x:v>
      </x:c>
      <x:c r="E117" s="12" t="str">
        <x:v>found</x:v>
      </x:c>
      <x:c r="F117" s="12" t="str">
        <x:v>proposed_requires_review</x:v>
      </x:c>
      <x:c r="G117" s="12" t="str">
        <x:v>union_exhaustive_pieces_paragraphes_4-5-6.xlsx</x:v>
      </x:c>
    </x:row>
    <x:row r="118">
      <x:c r="A118" s="12" t="str">
        <x:v>Events id=235-240</x:v>
      </x:c>
      <x:c r="B118" s="12" t="str">
        <x:v>Event</x:v>
      </x:c>
      <x:c r="C118" s="12" t="n">
        <x:v>238</x:v>
      </x:c>
      <x:c r="D118" s="12" t="str">
        <x:v>Event:238</x:v>
      </x:c>
      <x:c r="E118" s="12" t="str">
        <x:v>not_in_union_audit</x:v>
      </x:c>
      <x:c r="F118" s="12" t="str">
        <x:v>proposed_requires_review</x:v>
      </x:c>
      <x:c r="G118" s="12" t="str">
        <x:v>union_exhaustive_pieces_paragraphes_4-5-6.xlsx</x:v>
      </x:c>
    </x:row>
    <x:row r="119">
      <x:c r="A119" s="12" t="str">
        <x:v>Events id=235-240</x:v>
      </x:c>
      <x:c r="B119" s="12" t="str">
        <x:v>Event</x:v>
      </x:c>
      <x:c r="C119" s="12" t="n">
        <x:v>239</x:v>
      </x:c>
      <x:c r="D119" s="12" t="str">
        <x:v>Event:239</x:v>
      </x:c>
      <x:c r="E119" s="12" t="str">
        <x:v>found</x:v>
      </x:c>
      <x:c r="F119" s="12" t="str">
        <x:v>proposed_requires_review</x:v>
      </x:c>
      <x:c r="G119" s="12" t="str">
        <x:v>union_exhaustive_pieces_paragraphes_4-5-6.xlsx</x:v>
      </x:c>
    </x:row>
    <x:row r="120">
      <x:c r="A120" s="12" t="str">
        <x:v>Events id=235-240</x:v>
      </x:c>
      <x:c r="B120" s="12" t="str">
        <x:v>Event</x:v>
      </x:c>
      <x:c r="C120" s="12" t="n">
        <x:v>240</x:v>
      </x:c>
      <x:c r="D120" s="12" t="str">
        <x:v>Event:240</x:v>
      </x:c>
      <x:c r="E120" s="12" t="str">
        <x:v>found</x:v>
      </x:c>
      <x:c r="F120" s="12" t="str">
        <x:v>proposed_requires_review</x:v>
      </x:c>
      <x:c r="G120" s="12" t="str">
        <x:v>union_exhaustive_pieces_paragraphes_4-5-6.xlsx</x:v>
      </x:c>
    </x:row>
    <x:row r="121">
      <x:c r="A121" s="12" t="str">
        <x:v>Events id=257 à 260</x:v>
      </x:c>
      <x:c r="B121" s="12" t="str">
        <x:v>Event</x:v>
      </x:c>
      <x:c r="C121" s="12" t="n">
        <x:v>257</x:v>
      </x:c>
      <x:c r="D121" s="12" t="str">
        <x:v>Event:257</x:v>
      </x:c>
      <x:c r="E121" s="12" t="str">
        <x:v>found</x:v>
      </x:c>
      <x:c r="F121" s="12" t="str">
        <x:v>proposed_requires_review</x:v>
      </x:c>
      <x:c r="G121" s="12" t="str">
        <x:v>2015_par_9.md</x:v>
      </x:c>
    </x:row>
    <x:row r="122">
      <x:c r="A122" s="12" t="str">
        <x:v>Events id=257 à 260</x:v>
      </x:c>
      <x:c r="B122" s="12" t="str">
        <x:v>Event</x:v>
      </x:c>
      <x:c r="C122" s="12" t="n">
        <x:v>258</x:v>
      </x:c>
      <x:c r="D122" s="12" t="str">
        <x:v>Event:258</x:v>
      </x:c>
      <x:c r="E122" s="12" t="str">
        <x:v>found</x:v>
      </x:c>
      <x:c r="F122" s="12" t="str">
        <x:v>proposed_requires_review</x:v>
      </x:c>
      <x:c r="G122" s="12" t="str">
        <x:v>2015_par_9.md</x:v>
      </x:c>
    </x:row>
    <x:row r="123">
      <x:c r="A123" s="12" t="str">
        <x:v>Events id=257 à 260</x:v>
      </x:c>
      <x:c r="B123" s="12" t="str">
        <x:v>Event</x:v>
      </x:c>
      <x:c r="C123" s="12" t="n">
        <x:v>259</x:v>
      </x:c>
      <x:c r="D123" s="12" t="str">
        <x:v>Event:259</x:v>
      </x:c>
      <x:c r="E123" s="12" t="str">
        <x:v>found</x:v>
      </x:c>
      <x:c r="F123" s="12" t="str">
        <x:v>proposed_requires_review</x:v>
      </x:c>
      <x:c r="G123" s="12" t="str">
        <x:v>2015_par_9.md</x:v>
      </x:c>
    </x:row>
    <x:row r="124">
      <x:c r="A124" s="12" t="str">
        <x:v>Events id=257 à 260</x:v>
      </x:c>
      <x:c r="B124" s="12" t="str">
        <x:v>Event</x:v>
      </x:c>
      <x:c r="C124" s="12" t="n">
        <x:v>260</x:v>
      </x:c>
      <x:c r="D124" s="12" t="str">
        <x:v>Event:260</x:v>
      </x:c>
      <x:c r="E124" s="12" t="str">
        <x:v>found</x:v>
      </x:c>
      <x:c r="F124" s="12" t="str">
        <x:v>proposed_requires_review</x:v>
      </x:c>
      <x:c r="G124" s="12" t="str">
        <x:v>2015_par_9.md</x:v>
      </x:c>
    </x:row>
    <x:row r="125">
      <x:c r="A125" s="12" t="str">
        <x:v>Events id=312 à 315</x:v>
      </x:c>
      <x:c r="B125" s="12" t="str">
        <x:v>Event</x:v>
      </x:c>
      <x:c r="C125" s="12" t="n">
        <x:v>312</x:v>
      </x:c>
      <x:c r="D125" s="12" t="str">
        <x:v>Event:312</x:v>
      </x:c>
      <x:c r="E125" s="12" t="str">
        <x:v>found</x:v>
      </x:c>
      <x:c r="F125" s="12" t="str">
        <x:v>proposed_requires_review</x:v>
      </x:c>
      <x:c r="G125" s="12" t="str">
        <x:v>2015_par_9.md</x:v>
      </x:c>
    </x:row>
    <x:row r="126">
      <x:c r="A126" s="12" t="str">
        <x:v>Events id=312 à 315</x:v>
      </x:c>
      <x:c r="B126" s="12" t="str">
        <x:v>Event</x:v>
      </x:c>
      <x:c r="C126" s="12" t="n">
        <x:v>313</x:v>
      </x:c>
      <x:c r="D126" s="12" t="str">
        <x:v>Event:313</x:v>
      </x:c>
      <x:c r="E126" s="12" t="str">
        <x:v>found</x:v>
      </x:c>
      <x:c r="F126" s="12" t="str">
        <x:v>proposed_requires_review</x:v>
      </x:c>
      <x:c r="G126" s="12" t="str">
        <x:v>2015_par_9.md</x:v>
      </x:c>
    </x:row>
    <x:row r="127">
      <x:c r="A127" s="12" t="str">
        <x:v>Events id=312 à 315</x:v>
      </x:c>
      <x:c r="B127" s="12" t="str">
        <x:v>Event</x:v>
      </x:c>
      <x:c r="C127" s="12" t="n">
        <x:v>314</x:v>
      </x:c>
      <x:c r="D127" s="12" t="str">
        <x:v>Event:314</x:v>
      </x:c>
      <x:c r="E127" s="12" t="str">
        <x:v>found</x:v>
      </x:c>
      <x:c r="F127" s="12" t="str">
        <x:v>proposed_requires_review</x:v>
      </x:c>
      <x:c r="G127" s="12" t="str">
        <x:v>2015_par_9.md</x:v>
      </x:c>
    </x:row>
    <x:row r="128">
      <x:c r="A128" s="12" t="str">
        <x:v>Events id=312 à 315</x:v>
      </x:c>
      <x:c r="B128" s="12" t="str">
        <x:v>Event</x:v>
      </x:c>
      <x:c r="C128" s="12" t="n">
        <x:v>315</x:v>
      </x:c>
      <x:c r="D128" s="12" t="str">
        <x:v>Event:315</x:v>
      </x:c>
      <x:c r="E128" s="12" t="str">
        <x:v>found</x:v>
      </x:c>
      <x:c r="F128" s="12" t="str">
        <x:v>proposed_requires_review</x:v>
      </x:c>
      <x:c r="G128" s="12" t="str">
        <x:v>2015_par_9.md</x:v>
      </x:c>
    </x:row>
    <x:row r="129">
      <x:c r="A129" s="12" t="str">
        <x:v>Events id=316 à 320</x:v>
      </x:c>
      <x:c r="B129" s="12" t="str">
        <x:v>Event</x:v>
      </x:c>
      <x:c r="C129" s="12" t="n">
        <x:v>316</x:v>
      </x:c>
      <x:c r="D129" s="12" t="str">
        <x:v>Event:316</x:v>
      </x:c>
      <x:c r="E129" s="12" t="str">
        <x:v>found</x:v>
      </x:c>
      <x:c r="F129" s="12" t="str">
        <x:v>proposed_requires_review</x:v>
      </x:c>
      <x:c r="G129" s="12" t="str">
        <x:v>2015_par_9.md</x:v>
      </x:c>
    </x:row>
    <x:row r="130">
      <x:c r="A130" s="12" t="str">
        <x:v>Events id=316 à 320</x:v>
      </x:c>
      <x:c r="B130" s="12" t="str">
        <x:v>Event</x:v>
      </x:c>
      <x:c r="C130" s="12" t="n">
        <x:v>317</x:v>
      </x:c>
      <x:c r="D130" s="12" t="str">
        <x:v>Event:317</x:v>
      </x:c>
      <x:c r="E130" s="12" t="str">
        <x:v>found</x:v>
      </x:c>
      <x:c r="F130" s="12" t="str">
        <x:v>proposed_requires_review</x:v>
      </x:c>
      <x:c r="G130" s="12" t="str">
        <x:v>2015_par_9.md</x:v>
      </x:c>
    </x:row>
    <x:row r="131">
      <x:c r="A131" s="12" t="str">
        <x:v>Events id=316 à 320</x:v>
      </x:c>
      <x:c r="B131" s="12" t="str">
        <x:v>Event</x:v>
      </x:c>
      <x:c r="C131" s="12" t="n">
        <x:v>318</x:v>
      </x:c>
      <x:c r="D131" s="12" t="str">
        <x:v>Event:318</x:v>
      </x:c>
      <x:c r="E131" s="12" t="str">
        <x:v>found</x:v>
      </x:c>
      <x:c r="F131" s="12" t="str">
        <x:v>proposed_requires_review</x:v>
      </x:c>
      <x:c r="G131" s="12" t="str">
        <x:v>2015_par_9.md</x:v>
      </x:c>
    </x:row>
    <x:row r="132">
      <x:c r="A132" s="12" t="str">
        <x:v>Events id=316 à 320</x:v>
      </x:c>
      <x:c r="B132" s="12" t="str">
        <x:v>Event</x:v>
      </x:c>
      <x:c r="C132" s="12" t="n">
        <x:v>319</x:v>
      </x:c>
      <x:c r="D132" s="12" t="str">
        <x:v>Event:319</x:v>
      </x:c>
      <x:c r="E132" s="12" t="str">
        <x:v>found</x:v>
      </x:c>
      <x:c r="F132" s="12" t="str">
        <x:v>proposed_requires_review</x:v>
      </x:c>
      <x:c r="G132" s="12" t="str">
        <x:v>2015_par_9.md</x:v>
      </x:c>
    </x:row>
    <x:row r="133">
      <x:c r="A133" s="12" t="str">
        <x:v>Events id=316 à 320</x:v>
      </x:c>
      <x:c r="B133" s="12" t="str">
        <x:v>Event</x:v>
      </x:c>
      <x:c r="C133" s="12" t="n">
        <x:v>320</x:v>
      </x:c>
      <x:c r="D133" s="12" t="str">
        <x:v>Event:320</x:v>
      </x:c>
      <x:c r="E133" s="12" t="str">
        <x:v>found</x:v>
      </x:c>
      <x:c r="F133" s="12" t="str">
        <x:v>proposed_requires_review</x:v>
      </x:c>
      <x:c r="G133" s="12" t="str">
        <x:v>2015_par_9.md</x:v>
      </x:c>
    </x:row>
    <x:row r="134">
      <x:c r="A134" s="12" t="str">
        <x:v>Events id=316 à 326</x:v>
      </x:c>
      <x:c r="B134" s="12" t="str">
        <x:v>Event</x:v>
      </x:c>
      <x:c r="C134" s="12" t="n">
        <x:v>316</x:v>
      </x:c>
      <x:c r="D134" s="12" t="str">
        <x:v>Event:316</x:v>
      </x:c>
      <x:c r="E134" s="12" t="str">
        <x:v>found</x:v>
      </x:c>
      <x:c r="F134" s="12" t="str">
        <x:v>proposed_requires_review</x:v>
      </x:c>
      <x:c r="G134" s="12" t="str">
        <x:v>rapport_union_pieces_par14-17_2015.md | union_exhaustive_pieces_paragraphes_4-5-6.xlsx</x:v>
      </x:c>
    </x:row>
    <x:row r="135">
      <x:c r="A135" s="12" t="str">
        <x:v>Events id=316 à 326</x:v>
      </x:c>
      <x:c r="B135" s="12" t="str">
        <x:v>Event</x:v>
      </x:c>
      <x:c r="C135" s="12" t="n">
        <x:v>317</x:v>
      </x:c>
      <x:c r="D135" s="12" t="str">
        <x:v>Event:317</x:v>
      </x:c>
      <x:c r="E135" s="12" t="str">
        <x:v>found</x:v>
      </x:c>
      <x:c r="F135" s="12" t="str">
        <x:v>proposed_requires_review</x:v>
      </x:c>
      <x:c r="G135" s="12" t="str">
        <x:v>rapport_union_pieces_par14-17_2015.md | union_exhaustive_pieces_paragraphes_4-5-6.xlsx</x:v>
      </x:c>
    </x:row>
    <x:row r="136">
      <x:c r="A136" s="12" t="str">
        <x:v>Events id=316 à 326</x:v>
      </x:c>
      <x:c r="B136" s="12" t="str">
        <x:v>Event</x:v>
      </x:c>
      <x:c r="C136" s="12" t="n">
        <x:v>318</x:v>
      </x:c>
      <x:c r="D136" s="12" t="str">
        <x:v>Event:318</x:v>
      </x:c>
      <x:c r="E136" s="12" t="str">
        <x:v>found</x:v>
      </x:c>
      <x:c r="F136" s="12" t="str">
        <x:v>proposed_requires_review</x:v>
      </x:c>
      <x:c r="G136" s="12" t="str">
        <x:v>rapport_union_pieces_par14-17_2015.md | union_exhaustive_pieces_paragraphes_4-5-6.xlsx</x:v>
      </x:c>
    </x:row>
    <x:row r="137">
      <x:c r="A137" s="12" t="str">
        <x:v>Events id=316 à 326</x:v>
      </x:c>
      <x:c r="B137" s="12" t="str">
        <x:v>Event</x:v>
      </x:c>
      <x:c r="C137" s="12" t="n">
        <x:v>319</x:v>
      </x:c>
      <x:c r="D137" s="12" t="str">
        <x:v>Event:319</x:v>
      </x:c>
      <x:c r="E137" s="12" t="str">
        <x:v>found</x:v>
      </x:c>
      <x:c r="F137" s="12" t="str">
        <x:v>proposed_requires_review</x:v>
      </x:c>
      <x:c r="G137" s="12" t="str">
        <x:v>rapport_union_pieces_par14-17_2015.md | union_exhaustive_pieces_paragraphes_4-5-6.xlsx</x:v>
      </x:c>
    </x:row>
    <x:row r="138">
      <x:c r="A138" s="12" t="str">
        <x:v>Events id=316 à 326</x:v>
      </x:c>
      <x:c r="B138" s="12" t="str">
        <x:v>Event</x:v>
      </x:c>
      <x:c r="C138" s="12" t="n">
        <x:v>320</x:v>
      </x:c>
      <x:c r="D138" s="12" t="str">
        <x:v>Event:320</x:v>
      </x:c>
      <x:c r="E138" s="12" t="str">
        <x:v>found</x:v>
      </x:c>
      <x:c r="F138" s="12" t="str">
        <x:v>proposed_requires_review</x:v>
      </x:c>
      <x:c r="G138" s="12" t="str">
        <x:v>rapport_union_pieces_par14-17_2015.md | union_exhaustive_pieces_paragraphes_4-5-6.xlsx</x:v>
      </x:c>
    </x:row>
    <x:row r="139">
      <x:c r="A139" s="12" t="str">
        <x:v>Events id=316 à 326</x:v>
      </x:c>
      <x:c r="B139" s="12" t="str">
        <x:v>Event</x:v>
      </x:c>
      <x:c r="C139" s="12" t="n">
        <x:v>321</x:v>
      </x:c>
      <x:c r="D139" s="12" t="str">
        <x:v>Event:321</x:v>
      </x:c>
      <x:c r="E139" s="12" t="str">
        <x:v>found</x:v>
      </x:c>
      <x:c r="F139" s="12" t="str">
        <x:v>proposed_requires_review</x:v>
      </x:c>
      <x:c r="G139" s="12" t="str">
        <x:v>rapport_union_pieces_par14-17_2015.md | union_exhaustive_pieces_paragraphes_4-5-6.xlsx</x:v>
      </x:c>
    </x:row>
    <x:row r="140">
      <x:c r="A140" s="12" t="str">
        <x:v>Events id=316 à 326</x:v>
      </x:c>
      <x:c r="B140" s="12" t="str">
        <x:v>Event</x:v>
      </x:c>
      <x:c r="C140" s="12" t="n">
        <x:v>322</x:v>
      </x:c>
      <x:c r="D140" s="12" t="str">
        <x:v>Event:322</x:v>
      </x:c>
      <x:c r="E140" s="12" t="str">
        <x:v>found</x:v>
      </x:c>
      <x:c r="F140" s="12" t="str">
        <x:v>proposed_requires_review</x:v>
      </x:c>
      <x:c r="G140" s="12" t="str">
        <x:v>rapport_union_pieces_par14-17_2015.md | union_exhaustive_pieces_paragraphes_4-5-6.xlsx</x:v>
      </x:c>
    </x:row>
    <x:row r="141">
      <x:c r="A141" s="12" t="str">
        <x:v>Events id=316 à 326</x:v>
      </x:c>
      <x:c r="B141" s="12" t="str">
        <x:v>Event</x:v>
      </x:c>
      <x:c r="C141" s="12" t="n">
        <x:v>323</x:v>
      </x:c>
      <x:c r="D141" s="12" t="str">
        <x:v>Event:323</x:v>
      </x:c>
      <x:c r="E141" s="12" t="str">
        <x:v>found</x:v>
      </x:c>
      <x:c r="F141" s="12" t="str">
        <x:v>proposed_requires_review</x:v>
      </x:c>
      <x:c r="G141" s="12" t="str">
        <x:v>rapport_union_pieces_par14-17_2015.md | union_exhaustive_pieces_paragraphes_4-5-6.xlsx</x:v>
      </x:c>
    </x:row>
    <x:row r="142">
      <x:c r="A142" s="12" t="str">
        <x:v>Events id=316 à 326</x:v>
      </x:c>
      <x:c r="B142" s="12" t="str">
        <x:v>Event</x:v>
      </x:c>
      <x:c r="C142" s="12" t="n">
        <x:v>324</x:v>
      </x:c>
      <x:c r="D142" s="12" t="str">
        <x:v>Event:324</x:v>
      </x:c>
      <x:c r="E142" s="12" t="str">
        <x:v>found</x:v>
      </x:c>
      <x:c r="F142" s="12" t="str">
        <x:v>proposed_requires_review</x:v>
      </x:c>
      <x:c r="G142" s="12" t="str">
        <x:v>rapport_union_pieces_par14-17_2015.md | union_exhaustive_pieces_paragraphes_4-5-6.xlsx</x:v>
      </x:c>
    </x:row>
    <x:row r="143">
      <x:c r="A143" s="12" t="str">
        <x:v>Events id=316 à 326</x:v>
      </x:c>
      <x:c r="B143" s="12" t="str">
        <x:v>Event</x:v>
      </x:c>
      <x:c r="C143" s="12" t="n">
        <x:v>325</x:v>
      </x:c>
      <x:c r="D143" s="12" t="str">
        <x:v>Event:325</x:v>
      </x:c>
      <x:c r="E143" s="12" t="str">
        <x:v>found</x:v>
      </x:c>
      <x:c r="F143" s="12" t="str">
        <x:v>proposed_requires_review</x:v>
      </x:c>
      <x:c r="G143" s="12" t="str">
        <x:v>rapport_union_pieces_par14-17_2015.md | union_exhaustive_pieces_paragraphes_4-5-6.xlsx</x:v>
      </x:c>
    </x:row>
    <x:row r="144">
      <x:c r="A144" s="12" t="str">
        <x:v>Events id=316 à 326</x:v>
      </x:c>
      <x:c r="B144" s="12" t="str">
        <x:v>Event</x:v>
      </x:c>
      <x:c r="C144" s="12" t="n">
        <x:v>326</x:v>
      </x:c>
      <x:c r="D144" s="12" t="str">
        <x:v>Event:326</x:v>
      </x:c>
      <x:c r="E144" s="12" t="str">
        <x:v>found</x:v>
      </x:c>
      <x:c r="F144" s="12" t="str">
        <x:v>proposed_requires_review</x:v>
      </x:c>
      <x:c r="G144" s="12" t="str">
        <x:v>rapport_union_pieces_par14-17_2015.md | union_exhaustive_pieces_paragraphes_4-5-6.xlsx</x:v>
      </x:c>
    </x:row>
    <x:row r="145">
      <x:c r="A145" s="12" t="str">
        <x:v>Events id=316-326</x:v>
      </x:c>
      <x:c r="B145" s="12" t="str">
        <x:v>Event</x:v>
      </x:c>
      <x:c r="C145" s="12" t="n">
        <x:v>316</x:v>
      </x:c>
      <x:c r="D145" s="12" t="str">
        <x:v>Event:316</x:v>
      </x:c>
      <x:c r="E145" s="12" t="str">
        <x:v>found</x:v>
      </x:c>
      <x:c r="F145" s="12" t="str">
        <x:v>proposed_requires_review</x:v>
      </x:c>
      <x:c r="G145" s="12" t="str">
        <x:v>union_exhaustive_pieces_paragraphes_4-5-6.xlsx</x:v>
      </x:c>
    </x:row>
    <x:row r="146">
      <x:c r="A146" s="12" t="str">
        <x:v>Events id=316-326</x:v>
      </x:c>
      <x:c r="B146" s="12" t="str">
        <x:v>Event</x:v>
      </x:c>
      <x:c r="C146" s="12" t="n">
        <x:v>317</x:v>
      </x:c>
      <x:c r="D146" s="12" t="str">
        <x:v>Event:317</x:v>
      </x:c>
      <x:c r="E146" s="12" t="str">
        <x:v>found</x:v>
      </x:c>
      <x:c r="F146" s="12" t="str">
        <x:v>proposed_requires_review</x:v>
      </x:c>
      <x:c r="G146" s="12" t="str">
        <x:v>union_exhaustive_pieces_paragraphes_4-5-6.xlsx</x:v>
      </x:c>
    </x:row>
    <x:row r="147">
      <x:c r="A147" s="12" t="str">
        <x:v>Events id=316-326</x:v>
      </x:c>
      <x:c r="B147" s="12" t="str">
        <x:v>Event</x:v>
      </x:c>
      <x:c r="C147" s="12" t="n">
        <x:v>318</x:v>
      </x:c>
      <x:c r="D147" s="12" t="str">
        <x:v>Event:318</x:v>
      </x:c>
      <x:c r="E147" s="12" t="str">
        <x:v>found</x:v>
      </x:c>
      <x:c r="F147" s="12" t="str">
        <x:v>proposed_requires_review</x:v>
      </x:c>
      <x:c r="G147" s="12" t="str">
        <x:v>union_exhaustive_pieces_paragraphes_4-5-6.xlsx</x:v>
      </x:c>
    </x:row>
    <x:row r="148">
      <x:c r="A148" s="12" t="str">
        <x:v>Events id=316-326</x:v>
      </x:c>
      <x:c r="B148" s="12" t="str">
        <x:v>Event</x:v>
      </x:c>
      <x:c r="C148" s="12" t="n">
        <x:v>319</x:v>
      </x:c>
      <x:c r="D148" s="12" t="str">
        <x:v>Event:319</x:v>
      </x:c>
      <x:c r="E148" s="12" t="str">
        <x:v>found</x:v>
      </x:c>
      <x:c r="F148" s="12" t="str">
        <x:v>proposed_requires_review</x:v>
      </x:c>
      <x:c r="G148" s="12" t="str">
        <x:v>union_exhaustive_pieces_paragraphes_4-5-6.xlsx</x:v>
      </x:c>
    </x:row>
    <x:row r="149">
      <x:c r="A149" s="12" t="str">
        <x:v>Events id=316-326</x:v>
      </x:c>
      <x:c r="B149" s="12" t="str">
        <x:v>Event</x:v>
      </x:c>
      <x:c r="C149" s="12" t="n">
        <x:v>320</x:v>
      </x:c>
      <x:c r="D149" s="12" t="str">
        <x:v>Event:320</x:v>
      </x:c>
      <x:c r="E149" s="12" t="str">
        <x:v>found</x:v>
      </x:c>
      <x:c r="F149" s="12" t="str">
        <x:v>proposed_requires_review</x:v>
      </x:c>
      <x:c r="G149" s="12" t="str">
        <x:v>union_exhaustive_pieces_paragraphes_4-5-6.xlsx</x:v>
      </x:c>
    </x:row>
    <x:row r="150">
      <x:c r="A150" s="12" t="str">
        <x:v>Events id=316-326</x:v>
      </x:c>
      <x:c r="B150" s="12" t="str">
        <x:v>Event</x:v>
      </x:c>
      <x:c r="C150" s="12" t="n">
        <x:v>321</x:v>
      </x:c>
      <x:c r="D150" s="12" t="str">
        <x:v>Event:321</x:v>
      </x:c>
      <x:c r="E150" s="12" t="str">
        <x:v>found</x:v>
      </x:c>
      <x:c r="F150" s="12" t="str">
        <x:v>proposed_requires_review</x:v>
      </x:c>
      <x:c r="G150" s="12" t="str">
        <x:v>union_exhaustive_pieces_paragraphes_4-5-6.xlsx</x:v>
      </x:c>
    </x:row>
    <x:row r="151">
      <x:c r="A151" s="12" t="str">
        <x:v>Events id=316-326</x:v>
      </x:c>
      <x:c r="B151" s="12" t="str">
        <x:v>Event</x:v>
      </x:c>
      <x:c r="C151" s="12" t="n">
        <x:v>322</x:v>
      </x:c>
      <x:c r="D151" s="12" t="str">
        <x:v>Event:322</x:v>
      </x:c>
      <x:c r="E151" s="12" t="str">
        <x:v>found</x:v>
      </x:c>
      <x:c r="F151" s="12" t="str">
        <x:v>proposed_requires_review</x:v>
      </x:c>
      <x:c r="G151" s="12" t="str">
        <x:v>union_exhaustive_pieces_paragraphes_4-5-6.xlsx</x:v>
      </x:c>
    </x:row>
    <x:row r="152">
      <x:c r="A152" s="12" t="str">
        <x:v>Events id=316-326</x:v>
      </x:c>
      <x:c r="B152" s="12" t="str">
        <x:v>Event</x:v>
      </x:c>
      <x:c r="C152" s="12" t="n">
        <x:v>323</x:v>
      </x:c>
      <x:c r="D152" s="12" t="str">
        <x:v>Event:323</x:v>
      </x:c>
      <x:c r="E152" s="12" t="str">
        <x:v>found</x:v>
      </x:c>
      <x:c r="F152" s="12" t="str">
        <x:v>proposed_requires_review</x:v>
      </x:c>
      <x:c r="G152" s="12" t="str">
        <x:v>union_exhaustive_pieces_paragraphes_4-5-6.xlsx</x:v>
      </x:c>
    </x:row>
    <x:row r="153">
      <x:c r="A153" s="12" t="str">
        <x:v>Events id=316-326</x:v>
      </x:c>
      <x:c r="B153" s="12" t="str">
        <x:v>Event</x:v>
      </x:c>
      <x:c r="C153" s="12" t="n">
        <x:v>324</x:v>
      </x:c>
      <x:c r="D153" s="12" t="str">
        <x:v>Event:324</x:v>
      </x:c>
      <x:c r="E153" s="12" t="str">
        <x:v>found</x:v>
      </x:c>
      <x:c r="F153" s="12" t="str">
        <x:v>proposed_requires_review</x:v>
      </x:c>
      <x:c r="G153" s="12" t="str">
        <x:v>union_exhaustive_pieces_paragraphes_4-5-6.xlsx</x:v>
      </x:c>
    </x:row>
    <x:row r="154">
      <x:c r="A154" s="12" t="str">
        <x:v>Events id=316-326</x:v>
      </x:c>
      <x:c r="B154" s="12" t="str">
        <x:v>Event</x:v>
      </x:c>
      <x:c r="C154" s="12" t="n">
        <x:v>325</x:v>
      </x:c>
      <x:c r="D154" s="12" t="str">
        <x:v>Event:325</x:v>
      </x:c>
      <x:c r="E154" s="12" t="str">
        <x:v>found</x:v>
      </x:c>
      <x:c r="F154" s="12" t="str">
        <x:v>proposed_requires_review</x:v>
      </x:c>
      <x:c r="G154" s="12" t="str">
        <x:v>union_exhaustive_pieces_paragraphes_4-5-6.xlsx</x:v>
      </x:c>
    </x:row>
    <x:row r="155">
      <x:c r="A155" s="12" t="str">
        <x:v>Events id=316-326</x:v>
      </x:c>
      <x:c r="B155" s="12" t="str">
        <x:v>Event</x:v>
      </x:c>
      <x:c r="C155" s="12" t="n">
        <x:v>326</x:v>
      </x:c>
      <x:c r="D155" s="12" t="str">
        <x:v>Event:326</x:v>
      </x:c>
      <x:c r="E155" s="12" t="str">
        <x:v>found</x:v>
      </x:c>
      <x:c r="F155" s="12" t="str">
        <x:v>proposed_requires_review</x:v>
      </x:c>
      <x:c r="G155" s="12" t="str">
        <x:v>union_exhaustive_pieces_paragraphes_4-5-6.xlsx</x:v>
      </x:c>
    </x:row>
    <x:row r="156">
      <x:c r="A156" s="12" t="str">
        <x:v>Events id=75-83</x:v>
      </x:c>
      <x:c r="B156" s="12" t="str">
        <x:v>Event</x:v>
      </x:c>
      <x:c r="C156" s="12" t="n">
        <x:v>75</x:v>
      </x:c>
      <x:c r="D156" s="12" t="str">
        <x:v>Event:75</x:v>
      </x:c>
      <x:c r="E156" s="12" t="str">
        <x:v>found</x:v>
      </x:c>
      <x:c r="F156" s="12" t="str">
        <x:v>proposed_requires_review</x:v>
      </x:c>
      <x:c r="G156" s="12" t="str">
        <x:v>union_exhaustive_pieces_paragraphes_4-5-6.xlsx</x:v>
      </x:c>
    </x:row>
    <x:row r="157">
      <x:c r="A157" s="12" t="str">
        <x:v>Events id=75-83</x:v>
      </x:c>
      <x:c r="B157" s="12" t="str">
        <x:v>Event</x:v>
      </x:c>
      <x:c r="C157" s="12" t="n">
        <x:v>76</x:v>
      </x:c>
      <x:c r="D157" s="12" t="str">
        <x:v>Event:76</x:v>
      </x:c>
      <x:c r="E157" s="12" t="str">
        <x:v>found</x:v>
      </x:c>
      <x:c r="F157" s="12" t="str">
        <x:v>proposed_requires_review</x:v>
      </x:c>
      <x:c r="G157" s="12" t="str">
        <x:v>union_exhaustive_pieces_paragraphes_4-5-6.xlsx</x:v>
      </x:c>
    </x:row>
    <x:row r="158">
      <x:c r="A158" s="12" t="str">
        <x:v>Events id=75-83</x:v>
      </x:c>
      <x:c r="B158" s="12" t="str">
        <x:v>Event</x:v>
      </x:c>
      <x:c r="C158" s="12" t="n">
        <x:v>77</x:v>
      </x:c>
      <x:c r="D158" s="12" t="str">
        <x:v>Event:77</x:v>
      </x:c>
      <x:c r="E158" s="12" t="str">
        <x:v>found</x:v>
      </x:c>
      <x:c r="F158" s="12" t="str">
        <x:v>proposed_requires_review</x:v>
      </x:c>
      <x:c r="G158" s="12" t="str">
        <x:v>union_exhaustive_pieces_paragraphes_4-5-6.xlsx</x:v>
      </x:c>
    </x:row>
    <x:row r="159">
      <x:c r="A159" s="12" t="str">
        <x:v>Events id=75-83</x:v>
      </x:c>
      <x:c r="B159" s="12" t="str">
        <x:v>Event</x:v>
      </x:c>
      <x:c r="C159" s="12" t="n">
        <x:v>78</x:v>
      </x:c>
      <x:c r="D159" s="12" t="str">
        <x:v>Event:78</x:v>
      </x:c>
      <x:c r="E159" s="12" t="str">
        <x:v>found</x:v>
      </x:c>
      <x:c r="F159" s="12" t="str">
        <x:v>proposed_requires_review</x:v>
      </x:c>
      <x:c r="G159" s="12" t="str">
        <x:v>union_exhaustive_pieces_paragraphes_4-5-6.xlsx</x:v>
      </x:c>
    </x:row>
    <x:row r="160">
      <x:c r="A160" s="12" t="str">
        <x:v>Events id=75-83</x:v>
      </x:c>
      <x:c r="B160" s="12" t="str">
        <x:v>Event</x:v>
      </x:c>
      <x:c r="C160" s="12" t="n">
        <x:v>79</x:v>
      </x:c>
      <x:c r="D160" s="12" t="str">
        <x:v>Event:79</x:v>
      </x:c>
      <x:c r="E160" s="12" t="str">
        <x:v>found</x:v>
      </x:c>
      <x:c r="F160" s="12" t="str">
        <x:v>proposed_requires_review</x:v>
      </x:c>
      <x:c r="G160" s="12" t="str">
        <x:v>union_exhaustive_pieces_paragraphes_4-5-6.xlsx</x:v>
      </x:c>
    </x:row>
    <x:row r="161">
      <x:c r="A161" s="12" t="str">
        <x:v>Events id=75-83</x:v>
      </x:c>
      <x:c r="B161" s="12" t="str">
        <x:v>Event</x:v>
      </x:c>
      <x:c r="C161" s="12" t="n">
        <x:v>80</x:v>
      </x:c>
      <x:c r="D161" s="12" t="str">
        <x:v>Event:80</x:v>
      </x:c>
      <x:c r="E161" s="12" t="str">
        <x:v>found</x:v>
      </x:c>
      <x:c r="F161" s="12" t="str">
        <x:v>proposed_requires_review</x:v>
      </x:c>
      <x:c r="G161" s="12" t="str">
        <x:v>union_exhaustive_pieces_paragraphes_4-5-6.xlsx</x:v>
      </x:c>
    </x:row>
    <x:row r="162">
      <x:c r="A162" s="12" t="str">
        <x:v>Events id=75-83</x:v>
      </x:c>
      <x:c r="B162" s="12" t="str">
        <x:v>Event</x:v>
      </x:c>
      <x:c r="C162" s="12" t="n">
        <x:v>81</x:v>
      </x:c>
      <x:c r="D162" s="12" t="str">
        <x:v>Event:81</x:v>
      </x:c>
      <x:c r="E162" s="12" t="str">
        <x:v>not_in_union_audit</x:v>
      </x:c>
      <x:c r="F162" s="12" t="str">
        <x:v>proposed_requires_review</x:v>
      </x:c>
      <x:c r="G162" s="12" t="str">
        <x:v>union_exhaustive_pieces_paragraphes_4-5-6.xlsx</x:v>
      </x:c>
    </x:row>
    <x:row r="163">
      <x:c r="A163" s="12" t="str">
        <x:v>Events id=75-83</x:v>
      </x:c>
      <x:c r="B163" s="12" t="str">
        <x:v>Event</x:v>
      </x:c>
      <x:c r="C163" s="12" t="n">
        <x:v>82</x:v>
      </x:c>
      <x:c r="D163" s="12" t="str">
        <x:v>Event:82</x:v>
      </x:c>
      <x:c r="E163" s="12" t="str">
        <x:v>found</x:v>
      </x:c>
      <x:c r="F163" s="12" t="str">
        <x:v>proposed_requires_review</x:v>
      </x:c>
      <x:c r="G163" s="12" t="str">
        <x:v>union_exhaustive_pieces_paragraphes_4-5-6.xlsx</x:v>
      </x:c>
    </x:row>
    <x:row r="164">
      <x:c r="A164" s="12" t="str">
        <x:v>Events id=75-83</x:v>
      </x:c>
      <x:c r="B164" s="12" t="str">
        <x:v>Event</x:v>
      </x:c>
      <x:c r="C164" s="12" t="n">
        <x:v>83</x:v>
      </x:c>
      <x:c r="D164" s="12" t="str">
        <x:v>Event:83</x:v>
      </x:c>
      <x:c r="E164" s="12" t="str">
        <x:v>found</x:v>
      </x:c>
      <x:c r="F164" s="12" t="str">
        <x:v>proposed_requires_review</x:v>
      </x:c>
      <x:c r="G164" s="12" t="str">
        <x:v>union_exhaustive_pieces_paragraphes_4-5-6.xlsx</x:v>
      </x:c>
    </x:row>
    <x:row r="165">
      <x:c r="A165" s="12" t="str">
        <x:v>Events id=94-103</x:v>
      </x:c>
      <x:c r="B165" s="12" t="str">
        <x:v>Event</x:v>
      </x:c>
      <x:c r="C165" s="12" t="n">
        <x:v>94</x:v>
      </x:c>
      <x:c r="D165" s="12" t="str">
        <x:v>Event:94</x:v>
      </x:c>
      <x:c r="E165" s="12" t="str">
        <x:v>found</x:v>
      </x:c>
      <x:c r="F165" s="12" t="str">
        <x:v>proposed_requires_review</x:v>
      </x:c>
      <x:c r="G165" s="12" t="str">
        <x:v>2015_par_7.md | union_exhaustive_pieces_paragraphes_4-5-6.xlsx</x:v>
      </x:c>
    </x:row>
    <x:row r="166">
      <x:c r="A166" s="12" t="str">
        <x:v>Events id=94-103</x:v>
      </x:c>
      <x:c r="B166" s="12" t="str">
        <x:v>Event</x:v>
      </x:c>
      <x:c r="C166" s="12" t="n">
        <x:v>95</x:v>
      </x:c>
      <x:c r="D166" s="12" t="str">
        <x:v>Event:95</x:v>
      </x:c>
      <x:c r="E166" s="12" t="str">
        <x:v>found</x:v>
      </x:c>
      <x:c r="F166" s="12" t="str">
        <x:v>proposed_requires_review</x:v>
      </x:c>
      <x:c r="G166" s="12" t="str">
        <x:v>2015_par_7.md | union_exhaustive_pieces_paragraphes_4-5-6.xlsx</x:v>
      </x:c>
    </x:row>
    <x:row r="167">
      <x:c r="A167" s="12" t="str">
        <x:v>Events id=94-103</x:v>
      </x:c>
      <x:c r="B167" s="12" t="str">
        <x:v>Event</x:v>
      </x:c>
      <x:c r="C167" s="12" t="n">
        <x:v>96</x:v>
      </x:c>
      <x:c r="D167" s="12" t="str">
        <x:v>Event:96</x:v>
      </x:c>
      <x:c r="E167" s="12" t="str">
        <x:v>found</x:v>
      </x:c>
      <x:c r="F167" s="12" t="str">
        <x:v>proposed_requires_review</x:v>
      </x:c>
      <x:c r="G167" s="12" t="str">
        <x:v>2015_par_7.md | union_exhaustive_pieces_paragraphes_4-5-6.xlsx</x:v>
      </x:c>
    </x:row>
    <x:row r="168">
      <x:c r="A168" s="12" t="str">
        <x:v>Events id=94-103</x:v>
      </x:c>
      <x:c r="B168" s="12" t="str">
        <x:v>Event</x:v>
      </x:c>
      <x:c r="C168" s="12" t="n">
        <x:v>97</x:v>
      </x:c>
      <x:c r="D168" s="12" t="str">
        <x:v>Event:97</x:v>
      </x:c>
      <x:c r="E168" s="12" t="str">
        <x:v>found</x:v>
      </x:c>
      <x:c r="F168" s="12" t="str">
        <x:v>proposed_requires_review</x:v>
      </x:c>
      <x:c r="G168" s="12" t="str">
        <x:v>2015_par_7.md | union_exhaustive_pieces_paragraphes_4-5-6.xlsx</x:v>
      </x:c>
    </x:row>
    <x:row r="169">
      <x:c r="A169" s="12" t="str">
        <x:v>Events id=94-103</x:v>
      </x:c>
      <x:c r="B169" s="12" t="str">
        <x:v>Event</x:v>
      </x:c>
      <x:c r="C169" s="12" t="n">
        <x:v>98</x:v>
      </x:c>
      <x:c r="D169" s="12" t="str">
        <x:v>Event:98</x:v>
      </x:c>
      <x:c r="E169" s="12" t="str">
        <x:v>found</x:v>
      </x:c>
      <x:c r="F169" s="12" t="str">
        <x:v>proposed_requires_review</x:v>
      </x:c>
      <x:c r="G169" s="12" t="str">
        <x:v>2015_par_7.md | union_exhaustive_pieces_paragraphes_4-5-6.xlsx</x:v>
      </x:c>
    </x:row>
    <x:row r="170">
      <x:c r="A170" s="12" t="str">
        <x:v>Events id=94-103</x:v>
      </x:c>
      <x:c r="B170" s="12" t="str">
        <x:v>Event</x:v>
      </x:c>
      <x:c r="C170" s="12" t="n">
        <x:v>99</x:v>
      </x:c>
      <x:c r="D170" s="12" t="str">
        <x:v>Event:99</x:v>
      </x:c>
      <x:c r="E170" s="12" t="str">
        <x:v>found</x:v>
      </x:c>
      <x:c r="F170" s="12" t="str">
        <x:v>proposed_requires_review</x:v>
      </x:c>
      <x:c r="G170" s="12" t="str">
        <x:v>2015_par_7.md | union_exhaustive_pieces_paragraphes_4-5-6.xlsx</x:v>
      </x:c>
    </x:row>
    <x:row r="171">
      <x:c r="A171" s="12" t="str">
        <x:v>Events id=94-103</x:v>
      </x:c>
      <x:c r="B171" s="12" t="str">
        <x:v>Event</x:v>
      </x:c>
      <x:c r="C171" s="12" t="n">
        <x:v>100</x:v>
      </x:c>
      <x:c r="D171" s="12" t="str">
        <x:v>Event:100</x:v>
      </x:c>
      <x:c r="E171" s="12" t="str">
        <x:v>found</x:v>
      </x:c>
      <x:c r="F171" s="12" t="str">
        <x:v>proposed_requires_review</x:v>
      </x:c>
      <x:c r="G171" s="12" t="str">
        <x:v>2015_par_7.md | union_exhaustive_pieces_paragraphes_4-5-6.xlsx</x:v>
      </x:c>
    </x:row>
    <x:row r="172">
      <x:c r="A172" s="12" t="str">
        <x:v>Events id=94-103</x:v>
      </x:c>
      <x:c r="B172" s="12" t="str">
        <x:v>Event</x:v>
      </x:c>
      <x:c r="C172" s="12" t="n">
        <x:v>101</x:v>
      </x:c>
      <x:c r="D172" s="12" t="str">
        <x:v>Event:101</x:v>
      </x:c>
      <x:c r="E172" s="12" t="str">
        <x:v>found</x:v>
      </x:c>
      <x:c r="F172" s="12" t="str">
        <x:v>proposed_requires_review</x:v>
      </x:c>
      <x:c r="G172" s="12" t="str">
        <x:v>2015_par_7.md | union_exhaustive_pieces_paragraphes_4-5-6.xlsx</x:v>
      </x:c>
    </x:row>
    <x:row r="173">
      <x:c r="A173" s="12" t="str">
        <x:v>Events id=94-103</x:v>
      </x:c>
      <x:c r="B173" s="12" t="str">
        <x:v>Event</x:v>
      </x:c>
      <x:c r="C173" s="12" t="n">
        <x:v>102</x:v>
      </x:c>
      <x:c r="D173" s="12" t="str">
        <x:v>Event:102</x:v>
      </x:c>
      <x:c r="E173" s="12" t="str">
        <x:v>found</x:v>
      </x:c>
      <x:c r="F173" s="12" t="str">
        <x:v>proposed_requires_review</x:v>
      </x:c>
      <x:c r="G173" s="12" t="str">
        <x:v>2015_par_7.md | union_exhaustive_pieces_paragraphes_4-5-6.xlsx</x:v>
      </x:c>
    </x:row>
    <x:row r="174">
      <x:c r="A174" s="12" t="str">
        <x:v>Events id=94-103</x:v>
      </x:c>
      <x:c r="B174" s="12" t="str">
        <x:v>Event</x:v>
      </x:c>
      <x:c r="C174" s="12" t="n">
        <x:v>103</x:v>
      </x:c>
      <x:c r="D174" s="12" t="str">
        <x:v>Event:103</x:v>
      </x:c>
      <x:c r="E174" s="12" t="str">
        <x:v>found</x:v>
      </x:c>
      <x:c r="F174" s="12" t="str">
        <x:v>proposed_requires_review</x:v>
      </x:c>
      <x:c r="G174" s="12" t="str">
        <x:v>2015_par_7.md | union_exhaustive_pieces_paragraphes_4-5-6.xlsx</x:v>
      </x:c>
    </x:row>
    <x:row r="175">
      <x:c r="A175" s="12" t="str">
        <x:v>Photos id=4517 à 4522</x:v>
      </x:c>
      <x:c r="B175" s="12" t="str">
        <x:v>Photo</x:v>
      </x:c>
      <x:c r="C175" s="12" t="n">
        <x:v>4517</x:v>
      </x:c>
      <x:c r="D175" s="12" t="str">
        <x:v>Photo:4517</x:v>
      </x:c>
      <x:c r="E175" s="12" t="str">
        <x:v>found</x:v>
      </x:c>
      <x:c r="F175" s="12" t="str">
        <x:v>proposed_requires_review</x:v>
      </x:c>
      <x:c r="G175" s="12" t="str">
        <x:v>2015_par_9.md</x:v>
      </x:c>
    </x:row>
    <x:row r="176">
      <x:c r="A176" s="12" t="str">
        <x:v>Photos id=4517 à 4522</x:v>
      </x:c>
      <x:c r="B176" s="12" t="str">
        <x:v>Photo</x:v>
      </x:c>
      <x:c r="C176" s="12" t="n">
        <x:v>4518</x:v>
      </x:c>
      <x:c r="D176" s="12" t="str">
        <x:v>Photo:4518</x:v>
      </x:c>
      <x:c r="E176" s="12" t="str">
        <x:v>found</x:v>
      </x:c>
      <x:c r="F176" s="12" t="str">
        <x:v>proposed_requires_review</x:v>
      </x:c>
      <x:c r="G176" s="12" t="str">
        <x:v>2015_par_9.md</x:v>
      </x:c>
    </x:row>
    <x:row r="177">
      <x:c r="A177" s="12" t="str">
        <x:v>Photos id=4517 à 4522</x:v>
      </x:c>
      <x:c r="B177" s="12" t="str">
        <x:v>Photo</x:v>
      </x:c>
      <x:c r="C177" s="12" t="n">
        <x:v>4519</x:v>
      </x:c>
      <x:c r="D177" s="12" t="str">
        <x:v>Photo:4519</x:v>
      </x:c>
      <x:c r="E177" s="12" t="str">
        <x:v>found</x:v>
      </x:c>
      <x:c r="F177" s="12" t="str">
        <x:v>proposed_requires_review</x:v>
      </x:c>
      <x:c r="G177" s="12" t="str">
        <x:v>2015_par_9.md</x:v>
      </x:c>
    </x:row>
    <x:row r="178">
      <x:c r="A178" s="12" t="str">
        <x:v>Photos id=4517 à 4522</x:v>
      </x:c>
      <x:c r="B178" s="12" t="str">
        <x:v>Photo</x:v>
      </x:c>
      <x:c r="C178" s="12" t="n">
        <x:v>4520</x:v>
      </x:c>
      <x:c r="D178" s="12" t="str">
        <x:v>Photo:4520</x:v>
      </x:c>
      <x:c r="E178" s="12" t="str">
        <x:v>found</x:v>
      </x:c>
      <x:c r="F178" s="12" t="str">
        <x:v>proposed_requires_review</x:v>
      </x:c>
      <x:c r="G178" s="12" t="str">
        <x:v>2015_par_9.md</x:v>
      </x:c>
    </x:row>
    <x:row r="179">
      <x:c r="A179" s="12" t="str">
        <x:v>Photos id=4517 à 4522</x:v>
      </x:c>
      <x:c r="B179" s="12" t="str">
        <x:v>Photo</x:v>
      </x:c>
      <x:c r="C179" s="12" t="n">
        <x:v>4521</x:v>
      </x:c>
      <x:c r="D179" s="12" t="str">
        <x:v>Photo:4521</x:v>
      </x:c>
      <x:c r="E179" s="12" t="str">
        <x:v>found</x:v>
      </x:c>
      <x:c r="F179" s="12" t="str">
        <x:v>proposed_requires_review</x:v>
      </x:c>
      <x:c r="G179" s="12" t="str">
        <x:v>2015_par_9.md</x:v>
      </x:c>
    </x:row>
    <x:row r="180">
      <x:c r="A180" s="14" t="str">
        <x:v>Photos id=4517 à 4522</x:v>
      </x:c>
      <x:c r="B180" s="14" t="str">
        <x:v>Photo</x:v>
      </x:c>
      <x:c r="C180" s="14" t="n">
        <x:v>4522</x:v>
      </x:c>
      <x:c r="D180" s="14" t="str">
        <x:v>Photo:4522</x:v>
      </x:c>
      <x:c r="E180" s="14" t="str">
        <x:v>found</x:v>
      </x:c>
      <x:c r="F180" s="14" t="str">
        <x:v>proposed_requires_review</x:v>
      </x:c>
      <x:c r="G180" s="14" t="str">
        <x:v>2015_par_9.md</x:v>
      </x:c>
    </x:row>
  </x:sheetData>
  <x:mergeCells>
    <x:mergeCell ref="A1:G1"/>
  </x:mergeCells>
  <x:pageMargins left="0.7" right="0.7" top="0.75" bottom="0.75" header="0.3" footer="0.3"/>
  <x:tableParts count="1">
    <x:tablePart xmlns:r="http://schemas.openxmlformats.org/officeDocument/2006/relationships" r:id="R91cad30a6fb2447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45" hidden="0" customWidth="1"/>
    <x:col min="4" max="4" width="32" hidden="0" customWidth="1"/>
    <x:col min="5" max="5" width="12" hidden="0" customWidth="1"/>
    <x:col min="6" max="6" width="24" hidden="0" customWidth="1"/>
    <x:col min="7" max="7" width="16" hidden="0" customWidth="1"/>
    <x:col min="8" max="8" width="45" hidden="0" customWidth="1"/>
    <x:col min="9" max="9" width="85" hidden="0" customWidth="1"/>
  </x:cols>
  <x:sheetData>
    <x:row r="1" ht="28" customHeight="1">
      <x:c r="A1" s="2" t="str">
        <x:v>Placeholders demande</x:v>
      </x:c>
      <x:c r="B1" s="2" t="str">
        <x:v>Placeholders demande</x:v>
      </x:c>
      <x:c r="C1" s="2" t="str">
        <x:v>Placeholders demande</x:v>
      </x:c>
      <x:c r="D1" s="2" t="str">
        <x:v>Placeholders demande</x:v>
      </x:c>
      <x:c r="E1" s="2" t="str">
        <x:v>Placeholders demande</x:v>
      </x:c>
      <x:c r="F1" s="2" t="str">
        <x:v>Placeholders demande</x:v>
      </x:c>
      <x:c r="G1" s="2" t="str">
        <x:v>Placeholders demande</x:v>
      </x:c>
      <x:c r="H1" s="2" t="str">
        <x:v>Placeholders demande</x:v>
      </x:c>
      <x:c r="I1" s="2" t="str">
        <x:v>Placeholders demande</x:v>
      </x:c>
    </x:row>
    <x:row r="3" ht="30" customHeight="1">
      <x:c r="A3" s="4" t="str">
        <x:v>Ligne</x:v>
      </x:c>
      <x:c r="B3" s="4" t="str">
        <x:v>Paragraphe</x:v>
      </x:c>
      <x:c r="C3" s="4" t="str">
        <x:v>Section</x:v>
      </x:c>
      <x:c r="D3" s="4" t="str">
        <x:v>Placeholder</x:v>
      </x:c>
      <x:c r="E3" s="4" t="str">
        <x:v>Occurrence</x:v>
      </x:c>
      <x:c r="F3" s="4" t="str">
        <x:v>État</x:v>
      </x:c>
      <x:c r="G3" s="4" t="str">
        <x:v>Cote proposée</x:v>
      </x:c>
      <x:c r="H3" s="4" t="str">
        <x:v>Fondement</x:v>
      </x:c>
      <x:c r="I3" s="4" t="str">
        <x:v>Contexte</x:v>
      </x:c>
    </x:row>
    <x:row r="4">
      <x:c r="A4" s="10" t="n">
        <x:v>5</x:v>
      </x:c>
      <x:c r="B4" s="10" t="str">
        <x:v>1</x:v>
      </x:c>
      <x:c r="C4" s="10" t="str">
        <x:v>La chaîne causale alléguée</x:v>
      </x:c>
      <x:c r="D4" s="10" t="str">
        <x:v>P-[●]</x:v>
      </x:c>
      <x:c r="E4" s="10" t="n">
        <x:v>1</x:v>
      </x:c>
      <x:c r="F4" s="10" t="str">
        <x:v>context_required</x:v>
      </x:c>
      <x:c r="G4" s="10" t="str"/>
      <x:c r="H4" s="10" t="str">
        <x:v>generic_or_section_local_placeholder</x:v>
      </x:c>
      <x:c r="I4" s="10" t="str">
        <x:v>1. Le 19 novembre 2015, dans le dossier de la Cour supérieure portant le numéro 505-04-024603-151, la défenderesse, alors demanderesse, a produit une requête appuyée de son serment, laquelle est produite au soutien des présentes comme pièce P-[●].</x:v>
      </x:c>
    </x:row>
    <x:row r="5">
      <x:c r="A5" s="12" t="n">
        <x:v>37</x:v>
      </x:c>
      <x:c r="B5" s="12" t="str">
        <x:v>13</x:v>
      </x:c>
      <x:c r="C5" s="12" t="str">
        <x:v>Les faits admis et la question contestée</x:v>
      </x:c>
      <x:c r="D5" s="12" t="str">
        <x:v>P-[●]</x:v>
      </x:c>
      <x:c r="E5" s="12" t="n">
        <x:v>1</x:v>
      </x:c>
      <x:c r="F5" s="12" t="str">
        <x:v>context_required</x:v>
      </x:c>
      <x:c r="G5" s="12" t="str"/>
      <x:c r="H5" s="12" t="str">
        <x:v>generic_or_section_local_placeholder</x:v>
      </x:c>
      <x:c r="I5" s="12" t="str">
        <x:v>13. Les parties ont néanmoins repris la vie commune après cette séparation temporaire, laquelle s’est poursuivie jusqu’au départ du demandeur le 23 février 2015, tel qu’il appert de la pièce P-[●].</x:v>
      </x:c>
    </x:row>
    <x:row r="6">
      <x:c r="A6" s="12" t="n">
        <x:v>43</x:v>
      </x:c>
      <x:c r="B6" s="12" t="str">
        <x:v>15</x:v>
      </x:c>
      <x:c r="C6" s="12" t="str">
        <x:v>Les soins apportés à Alexia</x:v>
      </x:c>
      <x:c r="D6" s="12" t="str">
        <x:v>P-[●]</x:v>
      </x:c>
      <x:c r="E6" s="12" t="n">
        <x:v>1</x:v>
      </x:c>
      <x:c r="F6" s="12" t="str">
        <x:v>context_required</x:v>
      </x:c>
      <x:c r="G6" s="12" t="str"/>
      <x:c r="H6" s="12" t="str">
        <x:v>generic_or_section_local_placeholder</x:v>
      </x:c>
      <x:c r="I6" s="12" t="str">
        <x:v>15. Entre le 7 mars 2011 et le 10 septembre 2012, le demandeur s’est absenté de son travail à au moins onze reprises afin de demeurer auprès d’Alexia lorsqu’elle était malade ou de l’accompagner à un rendez-vous médical, tel qu’il appert des courriels contemporains adressés à ses supérieurs à la Banque Nationale du Canada et produits en liasse comme pièce P-[●].</x:v>
      </x:c>
    </x:row>
    <x:row r="7">
      <x:c r="A7" s="12" t="n">
        <x:v>47</x:v>
      </x:c>
      <x:c r="B7" s="12" t="str">
        <x:v>17</x:v>
      </x:c>
      <x:c r="C7" s="12" t="str">
        <x:v>Les soins apportés à Alexia</x:v>
      </x:c>
      <x:c r="D7" s="12" t="str">
        <x:v>P-[●]</x:v>
      </x:c>
      <x:c r="E7" s="12" t="n">
        <x:v>1</x:v>
      </x:c>
      <x:c r="F7" s="12" t="str">
        <x:v>context_required</x:v>
      </x:c>
      <x:c r="G7" s="12" t="str"/>
      <x:c r="H7" s="12" t="str">
        <x:v>generic_or_section_local_placeholder</x:v>
      </x:c>
      <x:c r="I7" s="12" t="str">
        <x:v>17. Le 25 mai 2011, le demandeur a informé sa supérieure qu’il devait accompagner Alexia chez son pédiatre pour ses vaccins, tel qu’il appert de la pièce P-[●].</x:v>
      </x:c>
    </x:row>
    <x:row r="8">
      <x:c r="A8" s="12" t="n">
        <x:v>49</x:v>
      </x:c>
      <x:c r="B8" s="12" t="str">
        <x:v>18</x:v>
      </x:c>
      <x:c r="C8" s="12" t="str">
        <x:v>Les soins apportés à Alexia</x:v>
      </x:c>
      <x:c r="D8" s="12" t="str">
        <x:v>P-[●]</x:v>
      </x:c>
      <x:c r="E8" s="12" t="n">
        <x:v>1</x:v>
      </x:c>
      <x:c r="F8" s="12" t="str">
        <x:v>context_required</x:v>
      </x:c>
      <x:c r="G8" s="12" t="str"/>
      <x:c r="H8" s="12" t="str">
        <x:v>generic_or_section_local_placeholder</x:v>
      </x:c>
      <x:c r="I8" s="12" t="str">
        <x:v>18. Le 6 septembre 2011, le demandeur a informé sa supérieure qu’il demeurerait à la maison toute la journée auprès d’Alexia parce qu’elle était malade, tout en demeurant joignable pour son travail, tel qu’il appert de la pièce P-[●].</x:v>
      </x:c>
    </x:row>
    <x:row r="9">
      <x:c r="A9" s="12" t="n">
        <x:v>51</x:v>
      </x:c>
      <x:c r="B9" s="12" t="str">
        <x:v>19</x:v>
      </x:c>
      <x:c r="C9" s="12" t="str">
        <x:v>Les soins apportés à Alexia</x:v>
      </x:c>
      <x:c r="D9" s="12" t="str">
        <x:v>P-[●]</x:v>
      </x:c>
      <x:c r="E9" s="12" t="n">
        <x:v>1</x:v>
      </x:c>
      <x:c r="F9" s="12" t="str">
        <x:v>context_required</x:v>
      </x:c>
      <x:c r="G9" s="12" t="str"/>
      <x:c r="H9" s="12" t="str">
        <x:v>generic_or_section_local_placeholder</x:v>
      </x:c>
      <x:c r="I9" s="12" t="str">
        <x:v>19. Le 16 décembre 2011, le demandeur a de nouveau informé sa supérieure qu’il devait demeurer auprès d’Alexia parce que la ressource familiale qui aurait autrement pu la garder n’était pas disponible, tel qu’il appert de la pièce P-[●].</x:v>
      </x:c>
    </x:row>
    <x:row r="10">
      <x:c r="A10" s="12" t="n">
        <x:v>57</x:v>
      </x:c>
      <x:c r="B10" s="12" t="str">
        <x:v>21</x:v>
      </x:c>
      <x:c r="C10" s="12" t="str">
        <x:v>Les routines de garderie et d’école</x:v>
      </x:c>
      <x:c r="D10" s="12" t="str">
        <x:v>P-[●]</x:v>
      </x:c>
      <x:c r="E10" s="12" t="n">
        <x:v>1</x:v>
      </x:c>
      <x:c r="F10" s="12" t="str">
        <x:v>context_required</x:v>
      </x:c>
      <x:c r="G10" s="12" t="str"/>
      <x:c r="H10" s="12" t="str">
        <x:v>generic_or_section_local_placeholder</x:v>
      </x:c>
      <x:c r="I10" s="12" t="str">
        <x:v>21. Le 24 novembre 2011, le demandeur a demandé à la défenderesse, au sujet de la sortie de garderie d’Alexia : « vas-tu la chercher ou j’y vais? », tel qu’il appert de la pièce P-[●].</x:v>
      </x:c>
    </x:row>
    <x:row r="11">
      <x:c r="A11" s="12" t="n">
        <x:v>61</x:v>
      </x:c>
      <x:c r="B11" s="12" t="str">
        <x:v>23</x:v>
      </x:c>
      <x:c r="C11" s="12" t="str">
        <x:v>Les routines de garderie et d’école</x:v>
      </x:c>
      <x:c r="D11" s="12" t="str">
        <x:v>P-[●]</x:v>
      </x:c>
      <x:c r="E11" s="12" t="n">
        <x:v>1</x:v>
      </x:c>
      <x:c r="F11" s="12" t="str">
        <x:v>context_required</x:v>
      </x:c>
      <x:c r="G11" s="12" t="str"/>
      <x:c r="H11" s="12" t="str">
        <x:v>generic_or_section_local_placeholder</x:v>
      </x:c>
      <x:c r="I11" s="12" t="str">
        <x:v>23. Les 18 et 19 octobre 2012, le demandeur a accompagné Alexia à pied le matin à son établissement de garde ou d’enseignement, tel qu’il appert des photographies et renseignements contemporains produits en liasse comme pièce P-[●].</x:v>
      </x:c>
    </x:row>
    <x:row r="12">
      <x:c r="A12" s="12" t="n">
        <x:v>63</x:v>
      </x:c>
      <x:c r="B12" s="12" t="str">
        <x:v>24</x:v>
      </x:c>
      <x:c r="C12" s="12" t="str">
        <x:v>Les routines de garderie et d’école</x:v>
      </x:c>
      <x:c r="D12" s="12" t="str">
        <x:v>P-[●]</x:v>
      </x:c>
      <x:c r="E12" s="12" t="n">
        <x:v>1</x:v>
      </x:c>
      <x:c r="F12" s="12" t="str">
        <x:v>context_required</x:v>
      </x:c>
      <x:c r="G12" s="12" t="str"/>
      <x:c r="H12" s="12" t="str">
        <x:v>generic_or_section_local_placeholder</x:v>
      </x:c>
      <x:c r="I12" s="12" t="str">
        <x:v>24. Le 6 mars 2013, le demandeur a écrit qu’il planifiait sa matinée en fonction du dépôt d’Alexia à la garderie, tel qu’il appert de la pièce P-[●].</x:v>
      </x:c>
    </x:row>
    <x:row r="13">
      <x:c r="A13" s="12" t="n">
        <x:v>65</x:v>
      </x:c>
      <x:c r="B13" s="12" t="str">
        <x:v>25</x:v>
      </x:c>
      <x:c r="C13" s="12" t="str">
        <x:v>Les routines de garderie et d’école</x:v>
      </x:c>
      <x:c r="D13" s="12" t="str">
        <x:v>P-[●]</x:v>
      </x:c>
      <x:c r="E13" s="12" t="n">
        <x:v>1</x:v>
      </x:c>
      <x:c r="F13" s="12" t="str">
        <x:v>context_required</x:v>
      </x:c>
      <x:c r="G13" s="12" t="str"/>
      <x:c r="H13" s="12" t="str">
        <x:v>generic_or_section_local_placeholder</x:v>
      </x:c>
      <x:c r="I13" s="12" t="str">
        <x:v>25. Le 16 février 2015, soit sept jours avant son départ, la mère du demandeur lui a écrit qu’il n’avait pas à se rendre à la garderie puisqu’elle effectuerait elle-même le déplacement, tel qu’il appert de la pièce P-[●].</x:v>
      </x:c>
    </x:row>
    <x:row r="14">
      <x:c r="A14" s="12" t="n">
        <x:v>71</x:v>
      </x:c>
      <x:c r="B14" s="12" t="str">
        <x:v>27</x:v>
      </x:c>
      <x:c r="C14" s="12" t="str">
        <x:v>Les prises en charge en soirée</x:v>
      </x:c>
      <x:c r="D14" s="12" t="str">
        <x:v>P-[●]</x:v>
      </x:c>
      <x:c r="E14" s="12" t="n">
        <x:v>1</x:v>
      </x:c>
      <x:c r="F14" s="12" t="str">
        <x:v>context_required</x:v>
      </x:c>
      <x:c r="G14" s="12" t="str"/>
      <x:c r="H14" s="12" t="str">
        <x:v>generic_or_section_local_placeholder</x:v>
      </x:c>
      <x:c r="I14" s="12" t="str">
        <x:v>27. Le 9 décembre 2010, le demandeur a écrit à sa mère qu’il lui avait déjà indiqué que la défenderesse dansait les mardis et mercredis, tel qu’il appert de la pièce P-[●].</x:v>
      </x:c>
    </x:row>
    <x:row r="15">
      <x:c r="A15" s="12" t="n">
        <x:v>73</x:v>
      </x:c>
      <x:c r="B15" s="12" t="str">
        <x:v>28</x:v>
      </x:c>
      <x:c r="C15" s="12" t="str">
        <x:v>Les prises en charge en soirée</x:v>
      </x:c>
      <x:c r="D15" s="12" t="str">
        <x:v>P-[●]</x:v>
      </x:c>
      <x:c r="E15" s="12" t="n">
        <x:v>1</x:v>
      </x:c>
      <x:c r="F15" s="12" t="str">
        <x:v>context_required</x:v>
      </x:c>
      <x:c r="G15" s="12" t="str"/>
      <x:c r="H15" s="12" t="str">
        <x:v>generic_or_section_local_placeholder</x:v>
      </x:c>
      <x:c r="I15" s="12" t="str">
        <x:v>28. Les 9 et 16 février 2011, malgré la séparation physique alors amorcée entre les parties, le demandeur a assuré la routine du soir d’Alexia pendant que la défenderesse participait à ses cours de danse, tel qu’il appert de la pièce P-[●] en liasse.</x:v>
      </x:c>
    </x:row>
    <x:row r="16">
      <x:c r="A16" s="12" t="n">
        <x:v>75</x:v>
      </x:c>
      <x:c r="B16" s="12" t="str">
        <x:v>29</x:v>
      </x:c>
      <x:c r="C16" s="12" t="str">
        <x:v>Les prises en charge en soirée</x:v>
      </x:c>
      <x:c r="D16" s="12" t="str">
        <x:v>P-[●]</x:v>
      </x:c>
      <x:c r="E16" s="12" t="n">
        <x:v>1</x:v>
      </x:c>
      <x:c r="F16" s="12" t="str">
        <x:v>context_required</x:v>
      </x:c>
      <x:c r="G16" s="12" t="str"/>
      <x:c r="H16" s="12" t="str">
        <x:v>generic_or_section_local_placeholder</x:v>
      </x:c>
      <x:c r="I16" s="12" t="str">
        <x:v>29. Le 6 mars 2012, le demandeur a écrit à la défenderesse qu’il devait être à la maison de bonne heure ce soir-là parce qu’elle dansait, tel qu’il appert de la pièce P-[●].</x:v>
      </x:c>
    </x:row>
    <x:row r="17">
      <x:c r="A17" s="12" t="n">
        <x:v>77</x:v>
      </x:c>
      <x:c r="B17" s="12" t="str">
        <x:v>30</x:v>
      </x:c>
      <x:c r="C17" s="12" t="str">
        <x:v>Les prises en charge en soirée</x:v>
      </x:c>
      <x:c r="D17" s="12" t="str">
        <x:v>P-[●]</x:v>
      </x:c>
      <x:c r="E17" s="12" t="n">
        <x:v>1</x:v>
      </x:c>
      <x:c r="F17" s="12" t="str">
        <x:v>context_required</x:v>
      </x:c>
      <x:c r="G17" s="12" t="str"/>
      <x:c r="H17" s="12" t="str">
        <x:v>generic_or_section_local_placeholder</x:v>
      </x:c>
      <x:c r="I17" s="12" t="str">
        <x:v>30. Les 27 janvier et 3 mars 2014, le demandeur était à la résidence avec Alexia et Nicolas pendant que la défenderesse participait à ses cours de danse, tel qu’il appert de la pièce P-[●] en liasse.</x:v>
      </x:c>
    </x:row>
    <x:row r="18">
      <x:c r="A18" s="12" t="n">
        <x:v>83</x:v>
      </x:c>
      <x:c r="B18" s="12" t="str">
        <x:v>32</x:v>
      </x:c>
      <x:c r="C18" s="12" t="str">
        <x:v>Les activités et la présence auprès d’Alexia</x:v>
      </x:c>
      <x:c r="D18" s="12" t="str">
        <x:v>P-[●]</x:v>
      </x:c>
      <x:c r="E18" s="12" t="n">
        <x:v>1</x:v>
      </x:c>
      <x:c r="F18" s="12" t="str">
        <x:v>context_required</x:v>
      </x:c>
      <x:c r="G18" s="12" t="str"/>
      <x:c r="H18" s="12" t="str">
        <x:v>generic_or_section_local_placeholder</x:v>
      </x:c>
      <x:c r="I18" s="12" t="str">
        <x:v>32. Le 7 mai 2011, le demandeur a accompagné Alexia à son cours de natation au YMCA, tel qu’il appert de la pièce P-[●].</x:v>
      </x:c>
    </x:row>
    <x:row r="19">
      <x:c r="A19" s="12" t="n">
        <x:v>85</x:v>
      </x:c>
      <x:c r="B19" s="12" t="str">
        <x:v>33</x:v>
      </x:c>
      <x:c r="C19" s="12" t="str">
        <x:v>Les activités et la présence auprès d’Alexia</x:v>
      </x:c>
      <x:c r="D19" s="12" t="str">
        <x:v>P-[●]</x:v>
      </x:c>
      <x:c r="E19" s="12" t="n">
        <x:v>1</x:v>
      </x:c>
      <x:c r="F19" s="12" t="str">
        <x:v>context_required</x:v>
      </x:c>
      <x:c r="G19" s="12" t="str"/>
      <x:c r="H19" s="12" t="str">
        <x:v>generic_or_section_local_placeholder</x:v>
      </x:c>
      <x:c r="I19" s="12" t="str">
        <x:v>33. Les 11 décembre 2011 et 29 janvier 2012, le demandeur était présent aux cours d’AcroGym d’Alexia, tel qu’il appert de la pièce P-[●] en liasse.</x:v>
      </x:c>
    </x:row>
    <x:row r="20">
      <x:c r="A20" s="12" t="n">
        <x:v>87</x:v>
      </x:c>
      <x:c r="B20" s="12" t="str">
        <x:v>34</x:v>
      </x:c>
      <x:c r="C20" s="12" t="str">
        <x:v>Les activités et la présence auprès d’Alexia</x:v>
      </x:c>
      <x:c r="D20" s="12" t="str">
        <x:v>P-[●]</x:v>
      </x:c>
      <x:c r="E20" s="12" t="n">
        <x:v>1</x:v>
      </x:c>
      <x:c r="F20" s="12" t="str">
        <x:v>context_required</x:v>
      </x:c>
      <x:c r="G20" s="12" t="str"/>
      <x:c r="H20" s="12" t="str">
        <x:v>generic_or_section_local_placeholder</x:v>
      </x:c>
      <x:c r="I20" s="12" t="str">
        <x:v>34. Les 28 mai et 24 août 2013, le demandeur était présent respectivement à une activité de soccer d’Alexia et à la remise de ses médailles de fin de saison, tel qu’il appert de la pièce P-[●] en liasse.</x:v>
      </x:c>
    </x:row>
    <x:row r="21">
      <x:c r="A21" s="12" t="n">
        <x:v>89</x:v>
      </x:c>
      <x:c r="B21" s="12" t="str">
        <x:v>35</x:v>
      </x:c>
      <x:c r="C21" s="12" t="str">
        <x:v>Les activités et la présence auprès d’Alexia</x:v>
      </x:c>
      <x:c r="D21" s="12" t="str">
        <x:v>P-[●]</x:v>
      </x:c>
      <x:c r="E21" s="12" t="n">
        <x:v>1</x:v>
      </x:c>
      <x:c r="F21" s="12" t="str">
        <x:v>context_required</x:v>
      </x:c>
      <x:c r="G21" s="12" t="str"/>
      <x:c r="H21" s="12" t="str">
        <x:v>generic_or_section_local_placeholder</x:v>
      </x:c>
      <x:c r="I21" s="12" t="str">
        <x:v>35. Entre le 27 juin 2013 et le 16 mars 2014, le demandeur a accompagné Alexia à plusieurs reprises à un centre d’escalade, tel qu’il appert des photographies horodatées produites comme pièce P-[●] en liasse.</x:v>
      </x:c>
    </x:row>
    <x:row r="22">
      <x:c r="A22" s="12" t="n">
        <x:v>91</x:v>
      </x:c>
      <x:c r="B22" s="12" t="str">
        <x:v>36</x:v>
      </x:c>
      <x:c r="C22" s="12" t="str">
        <x:v>Les activités et la présence auprès d’Alexia</x:v>
      </x:c>
      <x:c r="D22" s="12" t="str">
        <x:v>P-[●]</x:v>
      </x:c>
      <x:c r="E22" s="12" t="n">
        <x:v>1</x:v>
      </x:c>
      <x:c r="F22" s="12" t="str">
        <x:v>context_required</x:v>
      </x:c>
      <x:c r="G22" s="12" t="str"/>
      <x:c r="H22" s="12" t="str">
        <x:v>generic_or_section_local_placeholder</x:v>
      </x:c>
      <x:c r="I22" s="12" t="str">
        <x:v>36. Entre novembre 2010 et mai 2013, le demandeur était également présent avec Alexia dans différents parcs et lieux d’activités à au moins quinze occasions documentées par des photographies horodatées produites en liasse comme pièce P-[●].</x:v>
      </x:c>
    </x:row>
    <x:row r="23">
      <x:c r="A23" s="12" t="n">
        <x:v>93</x:v>
      </x:c>
      <x:c r="B23" s="12" t="str">
        <x:v>37</x:v>
      </x:c>
      <x:c r="C23" s="12" t="str">
        <x:v>Les activités et la présence auprès d’Alexia</x:v>
      </x:c>
      <x:c r="D23" s="12" t="str">
        <x:v>P-[●]</x:v>
      </x:c>
      <x:c r="E23" s="12" t="n">
        <x:v>1</x:v>
      </x:c>
      <x:c r="F23" s="12" t="str">
        <x:v>context_required</x:v>
      </x:c>
      <x:c r="G23" s="12" t="str"/>
      <x:c r="H23" s="12" t="str">
        <x:v>generic_or_section_local_placeholder</x:v>
      </x:c>
      <x:c r="I23" s="12" t="str">
        <x:v>37. Alexia participait également à des repas, fêtes et activités au sein de la famille paternelle, auxquels le demandeur l’accompagnait, tel qu’il appert de la pièce P-[●] en liasse.</x:v>
      </x:c>
    </x:row>
    <x:row r="24">
      <x:c r="A24" s="12" t="n">
        <x:v>97</x:v>
      </x:c>
      <x:c r="B24" s="12" t="str">
        <x:v>38</x:v>
      </x:c>
      <x:c r="C24" s="12" t="str">
        <x:v>La situation des parties avant le départ</x:v>
      </x:c>
      <x:c r="D24" s="12" t="str">
        <x:v>P-[●]</x:v>
      </x:c>
      <x:c r="E24" s="12" t="n">
        <x:v>1</x:v>
      </x:c>
      <x:c r="F24" s="12" t="str">
        <x:v>context_required</x:v>
      </x:c>
      <x:c r="G24" s="12" t="str"/>
      <x:c r="H24" s="12" t="str">
        <x:v>generic_or_section_local_placeholder</x:v>
      </x:c>
      <x:c r="I24" s="12" t="str">
        <x:v>38. En août 2014, la défenderesse a reçu du demandeur un prêt de 9 000 $, remboursable au moyen de crédits mensuels de loyer, tel qu’il appert des pièces P-[●] et P-[●].</x:v>
      </x:c>
    </x:row>
    <x:row r="25">
      <x:c r="A25" s="12" t="n">
        <x:v>97</x:v>
      </x:c>
      <x:c r="B25" s="12" t="str">
        <x:v>38</x:v>
      </x:c>
      <x:c r="C25" s="12" t="str">
        <x:v>La situation des parties avant le départ</x:v>
      </x:c>
      <x:c r="D25" s="12" t="str">
        <x:v>P-[●]</x:v>
      </x:c>
      <x:c r="E25" s="12" t="n">
        <x:v>2</x:v>
      </x:c>
      <x:c r="F25" s="12" t="str">
        <x:v>context_required</x:v>
      </x:c>
      <x:c r="G25" s="12" t="str"/>
      <x:c r="H25" s="12" t="str">
        <x:v>generic_or_section_local_placeholder</x:v>
      </x:c>
      <x:c r="I25" s="12" t="str">
        <x:v>38. En août 2014, la défenderesse a reçu du demandeur un prêt de 9 000 $, remboursable au moyen de crédits mensuels de loyer, tel qu’il appert des pièces P-[●] et P-[●].</x:v>
      </x:c>
    </x:row>
    <x:row r="26">
      <x:c r="A26" s="12" t="n">
        <x:v>99</x:v>
      </x:c>
      <x:c r="B26" s="12" t="str">
        <x:v>39</x:v>
      </x:c>
      <x:c r="C26" s="12" t="str">
        <x:v>La situation des parties avant le départ</x:v>
      </x:c>
      <x:c r="D26" s="12" t="str">
        <x:v>P-[●]</x:v>
      </x:c>
      <x:c r="E26" s="12" t="n">
        <x:v>1</x:v>
      </x:c>
      <x:c r="F26" s="12" t="str">
        <x:v>context_required</x:v>
      </x:c>
      <x:c r="G26" s="12" t="str"/>
      <x:c r="H26" s="12" t="str">
        <x:v>generic_or_section_local_placeholder</x:v>
      </x:c>
      <x:c r="I26" s="12" t="str">
        <x:v>39. Le 3 novembre 2014, la défenderesse a demandé au demandeur de lui prêter une somme supplémentaire de 1 000 $, tel qu’il appert de la pièce P-[●].</x:v>
      </x:c>
    </x:row>
    <x:row r="27">
      <x:c r="A27" s="12" t="n">
        <x:v>101</x:v>
      </x:c>
      <x:c r="B27" s="12" t="str">
        <x:v>40</x:v>
      </x:c>
      <x:c r="C27" s="12" t="str">
        <x:v>La situation des parties avant le départ</x:v>
      </x:c>
      <x:c r="D27" s="12" t="str">
        <x:v>P-[●]</x:v>
      </x:c>
      <x:c r="E27" s="12" t="n">
        <x:v>1</x:v>
      </x:c>
      <x:c r="F27" s="12" t="str">
        <x:v>context_required</x:v>
      </x:c>
      <x:c r="G27" s="12" t="str"/>
      <x:c r="H27" s="12" t="str">
        <x:v>generic_or_section_local_placeholder</x:v>
      </x:c>
      <x:c r="I27" s="12" t="str">
        <x:v>40. Le 4 novembre 2014, la défenderesse a écrit au demandeur que le temps consacré à « nous 4 » était important, tel qu’il appert de la pièce P-[●].</x:v>
      </x:c>
    </x:row>
    <x:row r="28">
      <x:c r="A28" s="12" t="n">
        <x:v>103</x:v>
      </x:c>
      <x:c r="B28" s="12" t="str">
        <x:v>41</x:v>
      </x:c>
      <x:c r="C28" s="12" t="str">
        <x:v>La situation des parties avant le départ</x:v>
      </x:c>
      <x:c r="D28" s="12" t="str">
        <x:v>P-[●]</x:v>
      </x:c>
      <x:c r="E28" s="12" t="n">
        <x:v>1</x:v>
      </x:c>
      <x:c r="F28" s="12" t="str">
        <x:v>context_required</x:v>
      </x:c>
      <x:c r="G28" s="12" t="str"/>
      <x:c r="H28" s="12" t="str">
        <x:v>generic_or_section_local_placeholder</x:v>
      </x:c>
      <x:c r="I28" s="12" t="str">
        <x:v>41. En novembre et décembre 2014, les parties ont continué à coordonner les soins et les besoins des enfants, notamment l’achat de vêtements, une consultation médicale urgente et l’administration de médicaments, tel qu’il appert de la pièce P-[●].</x:v>
      </x:c>
    </x:row>
    <x:row r="29">
      <x:c r="A29" s="12" t="n">
        <x:v>105</x:v>
      </x:c>
      <x:c r="B29" s="12" t="str">
        <x:v>42</x:v>
      </x:c>
      <x:c r="C29" s="12" t="str">
        <x:v>La situation des parties avant le départ</x:v>
      </x:c>
      <x:c r="D29" s="12" t="str">
        <x:v>P-[●]</x:v>
      </x:c>
      <x:c r="E29" s="12" t="n">
        <x:v>1</x:v>
      </x:c>
      <x:c r="F29" s="12" t="str">
        <x:v>context_required</x:v>
      </x:c>
      <x:c r="G29" s="12" t="str"/>
      <x:c r="H29" s="12" t="str">
        <x:v>generic_or_section_local_placeholder</x:v>
      </x:c>
      <x:c r="I29" s="12" t="str">
        <x:v>42. Le 2 février 2015, alors que les parties discutaient du départ prochain du demandeur, celui-ci a offert à la défenderesse de financer un matelas et des électroménagers destinés à la résidence, tel qu’il appert de la pièce P-[●].</x:v>
      </x:c>
    </x:row>
    <x:row r="30">
      <x:c r="A30" s="12" t="n">
        <x:v>107</x:v>
      </x:c>
      <x:c r="B30" s="12" t="str">
        <x:v>43</x:v>
      </x:c>
      <x:c r="C30" s="12" t="str">
        <x:v>La situation des parties avant le départ</x:v>
      </x:c>
      <x:c r="D30" s="12" t="str">
        <x:v>P-[●]</x:v>
      </x:c>
      <x:c r="E30" s="12" t="n">
        <x:v>1</x:v>
      </x:c>
      <x:c r="F30" s="12" t="str">
        <x:v>context_required</x:v>
      </x:c>
      <x:c r="G30" s="12" t="str"/>
      <x:c r="H30" s="12" t="str">
        <x:v>generic_or_section_local_placeholder</x:v>
      </x:c>
      <x:c r="I30" s="12" t="str">
        <x:v>43. Le 3 février 2015, le demandeur a offert à la défenderesse de demeurer disponible à proximité après son départ, tel qu’il appert de la pièce P-[●].</x:v>
      </x:c>
    </x:row>
    <x:row r="31">
      <x:c r="A31" s="12" t="n">
        <x:v>109</x:v>
      </x:c>
      <x:c r="B31" s="12" t="str">
        <x:v>44</x:v>
      </x:c>
      <x:c r="C31" s="12" t="str">
        <x:v>La situation des parties avant le départ</x:v>
      </x:c>
      <x:c r="D31" s="12" t="str">
        <x:v>P-[●]</x:v>
      </x:c>
      <x:c r="E31" s="12" t="n">
        <x:v>1</x:v>
      </x:c>
      <x:c r="F31" s="12" t="str">
        <x:v>context_required</x:v>
      </x:c>
      <x:c r="G31" s="12" t="str"/>
      <x:c r="H31" s="12" t="str">
        <x:v>generic_or_section_local_placeholder</x:v>
      </x:c>
      <x:c r="I31" s="12" t="str">
        <x:v>44. Le même jour, la défenderesse a écrit au demandeur qu’il avait décidé de partir rapidement et qu’il ne lui en avait pas préalablement parlé, tel qu’il appert de la pièce P-[●].</x:v>
      </x:c>
    </x:row>
    <x:row r="32">
      <x:c r="A32" s="12" t="n">
        <x:v>113</x:v>
      </x:c>
      <x:c r="B32" s="12" t="str">
        <x:v>46</x:v>
      </x:c>
      <x:c r="C32" s="12" t="str">
        <x:v>La situation des parties avant le départ</x:v>
      </x:c>
      <x:c r="D32" s="12" t="str">
        <x:v>P-[●]</x:v>
      </x:c>
      <x:c r="E32" s="12" t="n">
        <x:v>1</x:v>
      </x:c>
      <x:c r="F32" s="12" t="str">
        <x:v>context_required</x:v>
      </x:c>
      <x:c r="G32" s="12" t="str"/>
      <x:c r="H32" s="12" t="str">
        <x:v>generic_or_section_local_placeholder</x:v>
      </x:c>
      <x:c r="I32" s="12" t="str">
        <x:v>46. Dans le même échange, la défenderesse a proposé une sortie familiale à la cabane à sucre au mois de mars, tel qu’il appert de la pièce P-[●].</x:v>
      </x:c>
    </x:row>
    <x:row r="33">
      <x:c r="A33" s="12" t="n">
        <x:v>115</x:v>
      </x:c>
      <x:c r="B33" s="12" t="str">
        <x:v>47</x:v>
      </x:c>
      <x:c r="C33" s="12" t="str">
        <x:v>La situation des parties avant le départ</x:v>
      </x:c>
      <x:c r="D33" s="12" t="str">
        <x:v>P-[●]</x:v>
      </x:c>
      <x:c r="E33" s="12" t="n">
        <x:v>1</x:v>
      </x:c>
      <x:c r="F33" s="12" t="str">
        <x:v>context_required</x:v>
      </x:c>
      <x:c r="G33" s="12" t="str"/>
      <x:c r="H33" s="12" t="str">
        <x:v>generic_or_section_local_placeholder</x:v>
      </x:c>
      <x:c r="I33" s="12" t="str">
        <x:v>47. Le 27 février 2015, la défenderesse a écrit au demandeur que les parties avaient été conjointes de fait jusqu’à la rupture de février 2015, qu’elles ne faisaient pas chambre à part et qu’elles avaient des activités communes, tel qu’il appert de la pièce P-[●].</x:v>
      </x:c>
    </x:row>
    <x:row r="34">
      <x:c r="A34" s="12" t="n">
        <x:v>125</x:v>
      </x:c>
      <x:c r="B34" s="12" t="str">
        <x:v>51</x:v>
      </x:c>
      <x:c r="C34" s="12" t="str">
        <x:v>La réponse de la défenderesse du 11 janvier 2016</x:v>
      </x:c>
      <x:c r="D34" s="12" t="str">
        <x:v>P-[●]</x:v>
      </x:c>
      <x:c r="E34" s="12" t="n">
        <x:v>1</x:v>
      </x:c>
      <x:c r="F34" s="12" t="str">
        <x:v>context_required</x:v>
      </x:c>
      <x:c r="G34" s="12" t="str"/>
      <x:c r="H34" s="12" t="str">
        <x:v>generic_or_section_local_placeholder</x:v>
      </x:c>
      <x:c r="I34" s="12" t="str">
        <x:v>51. Le 11 janvier 2016, le demandeur a interpellé la défenderesse au sujet de l’allégation selon laquelle il n’aurait pas été impliqué auprès d’Alexia lorsqu’il vivait à la résidence familiale, tel qu’il appert de la pièce P-[●].</x:v>
      </x:c>
    </x:row>
    <x:row r="35">
      <x:c r="A35" s="12" t="n">
        <x:v>173</x:v>
      </x:c>
      <x:c r="B35" s="12" t="str">
        <x:v>69</x:v>
      </x:c>
      <x:c r="C35" s="12" t="str">
        <x:v>LA PRÉSENTATION DE LA SÉPARATION DE 2011 ET DE L’IMPLICATION PARENTALE DU DEMANDEUR</x:v>
      </x:c>
      <x:c r="D35" s="12" t="str">
        <x:v>P-[●]</x:v>
      </x:c>
      <x:c r="E35" s="12" t="n">
        <x:v>1</x:v>
      </x:c>
      <x:c r="F35" s="12" t="str">
        <x:v>context_required</x:v>
      </x:c>
      <x:c r="G35" s="12" t="str"/>
      <x:c r="H35" s="12" t="str">
        <x:v>generic_or_section_local_placeholder</x:v>
      </x:c>
      <x:c r="I35" s="12" t="str">
        <x:v>le tout tel qu’il appert de la requête du 19 novembre 2015, communiquée au soutien des présentes comme pièce P-[●];</x:v>
      </x:c>
    </x:row>
    <x:row r="36">
      <x:c r="A36" s="12" t="n">
        <x:v>181</x:v>
      </x:c>
      <x:c r="B36" s="12" t="str">
        <x:v>72</x:v>
      </x:c>
      <x:c r="C36" s="12" t="str">
        <x:v>L’infidélité, le départ et la thérapie</x:v>
      </x:c>
      <x:c r="D36" s="12" t="str">
        <x:v>P-[●]</x:v>
      </x:c>
      <x:c r="E36" s="12" t="n">
        <x:v>1</x:v>
      </x:c>
      <x:c r="F36" s="12" t="str">
        <x:v>context_required</x:v>
      </x:c>
      <x:c r="G36" s="12" t="str"/>
      <x:c r="H36" s="12" t="str">
        <x:v>generic_or_section_local_placeholder</x:v>
      </x:c>
      <x:c r="I36" s="12" t="str">
        <x:v>72. De février 2011 à janvier 2012, les parties ont participé à une thérapie de couple auprès du psychologue Marc Pistorio, comme l’établissent les factures produites en liasse comme pièce P-[●];</x:v>
      </x:c>
    </x:row>
    <x:row r="37">
      <x:c r="A37" s="12" t="n">
        <x:v>187</x:v>
      </x:c>
      <x:c r="B37" s="12" t="str">
        <x:v>74</x:v>
      </x:c>
      <x:c r="C37" s="12" t="str">
        <x:v>La durée de la résidence distincte</x:v>
      </x:c>
      <x:c r="D37" s="12" t="str">
        <x:v>P-[●]</x:v>
      </x:c>
      <x:c r="E37" s="12" t="n">
        <x:v>1</x:v>
      </x:c>
      <x:c r="F37" s="12" t="str">
        <x:v>context_required</x:v>
      </x:c>
      <x:c r="G37" s="12" t="str"/>
      <x:c r="H37" s="12" t="str">
        <x:v>generic_or_section_local_placeholder</x:v>
      </x:c>
      <x:c r="I37" s="12" t="str">
        <x:v>74. Du 1er février au 29 mai 2011, le demandeur était titulaire du compte d’électricité d’un logement situé au 311, rue Riverside, à Saint-Lambert, comme l’établit le relevé d’Hydro-Québec produit comme pièce P-[●];</x:v>
      </x:c>
    </x:row>
    <x:row r="38">
      <x:c r="A38" s="12" t="n">
        <x:v>191</x:v>
      </x:c>
      <x:c r="B38" s="12" t="str">
        <x:v>76</x:v>
      </x:c>
      <x:c r="C38" s="12" t="str">
        <x:v>La durée de la résidence distincte</x:v>
      </x:c>
      <x:c r="D38" s="12" t="str">
        <x:v>P-[●]</x:v>
      </x:c>
      <x:c r="E38" s="12" t="n">
        <x:v>1</x:v>
      </x:c>
      <x:c r="F38" s="12" t="str">
        <x:v>context_required</x:v>
      </x:c>
      <x:c r="G38" s="12" t="str"/>
      <x:c r="H38" s="12" t="str">
        <x:v>generic_or_section_local_placeholder</x:v>
      </x:c>
      <x:c r="I38" s="12" t="str">
        <x:v>76. Durant cette même période, le demandeur est demeuré titulaire ou responsable du compte d’électricité de la résidence familiale, comme l’établit également la pièce P-[●];</x:v>
      </x:c>
    </x:row>
    <x:row r="39">
      <x:c r="A39" s="12" t="n">
        <x:v>195</x:v>
      </x:c>
      <x:c r="B39" s="12" t="str">
        <x:v>78</x:v>
      </x:c>
      <x:c r="C39" s="12" t="str">
        <x:v>La durée de la résidence distincte</x:v>
      </x:c>
      <x:c r="D39" s="12" t="str">
        <x:v>P-[●]</x:v>
      </x:c>
      <x:c r="E39" s="12" t="n">
        <x:v>1</x:v>
      </x:c>
      <x:c r="F39" s="12" t="str">
        <x:v>context_required</x:v>
      </x:c>
      <x:c r="G39" s="12" t="str"/>
      <x:c r="H39" s="12" t="str">
        <x:v>generic_or_section_local_placeholder</x:v>
      </x:c>
      <x:c r="I39" s="12" t="str">
        <x:v>78. Le 24 juillet 2011, le demandeur, Mme Ayoub et leur fille Alexia ont participé ensemble à une activité familiale au parc Alexandra, comme l’établit la pièce P-[●];</x:v>
      </x:c>
    </x:row>
    <x:row r="40">
      <x:c r="A40" s="12" t="n">
        <x:v>197</x:v>
      </x:c>
      <x:c r="B40" s="12" t="str">
        <x:v>79</x:v>
      </x:c>
      <x:c r="C40" s="12" t="str">
        <x:v>La durée de la résidence distincte</x:v>
      </x:c>
      <x:c r="D40" s="12" t="str">
        <x:v>P-[●]</x:v>
      </x:c>
      <x:c r="E40" s="12" t="n">
        <x:v>1</x:v>
      </x:c>
      <x:c r="F40" s="12" t="str">
        <x:v>context_required</x:v>
      </x:c>
      <x:c r="G40" s="12" t="str"/>
      <x:c r="H40" s="12" t="str">
        <x:v>generic_or_section_local_placeholder</x:v>
      </x:c>
      <x:c r="I40" s="12" t="str">
        <x:v>79. Le 19 août 2011, le demandeur, Mme Ayoub et Alexia ont participé ensemble à une sortie au Zoo de Granby, comme l’établit la pièce P-[●];</x:v>
      </x:c>
    </x:row>
    <x:row r="41">
      <x:c r="A41" s="12" t="n">
        <x:v>199</x:v>
      </x:c>
      <x:c r="B41" s="12" t="str">
        <x:v>80</x:v>
      </x:c>
      <x:c r="C41" s="12" t="str">
        <x:v>La durée de la résidence distincte</x:v>
      </x:c>
      <x:c r="D41" s="12" t="str">
        <x:v>P-[●]</x:v>
      </x:c>
      <x:c r="E41" s="12" t="n">
        <x:v>1</x:v>
      </x:c>
      <x:c r="F41" s="12" t="str">
        <x:v>context_required</x:v>
      </x:c>
      <x:c r="G41" s="12" t="str"/>
      <x:c r="H41" s="12" t="str">
        <x:v>generic_or_section_local_placeholder</x:v>
      </x:c>
      <x:c r="I41" s="12" t="str">
        <x:v>80. Le 12 septembre 2011, une amie du demandeur lui demandait par écrit : « Le retour avec Élise va bien? », comme l’établit le courriel produit comme pièce P-[●];</x:v>
      </x:c>
    </x:row>
    <x:row r="42">
      <x:c r="A42" s="12" t="n">
        <x:v>201</x:v>
      </x:c>
      <x:c r="B42" s="12" t="str">
        <x:v>81</x:v>
      </x:c>
      <x:c r="C42" s="12" t="str">
        <x:v>La durée de la résidence distincte</x:v>
      </x:c>
      <x:c r="D42" s="12" t="str">
        <x:v>P-[●]</x:v>
      </x:c>
      <x:c r="E42" s="12" t="n">
        <x:v>1</x:v>
      </x:c>
      <x:c r="F42" s="12" t="str">
        <x:v>context_required</x:v>
      </x:c>
      <x:c r="G42" s="12" t="str"/>
      <x:c r="H42" s="12" t="str">
        <x:v>generic_or_section_local_placeholder</x:v>
      </x:c>
      <x:c r="I42" s="12" t="str">
        <x:v>81. Du 27 septembre au 3 octobre 2011, le demandeur, Mme Ayoub, Alexia et les parents de Mme Ayoub ont effectué ensemble un voyage familial à Cuba, comme l’établissent les documents produits en liasse comme pièce P-[●];</x:v>
      </x:c>
    </x:row>
    <x:row r="43">
      <x:c r="A43" s="12" t="n">
        <x:v>211</x:v>
      </x:c>
      <x:c r="B43" s="12" t="str">
        <x:v>85</x:v>
      </x:c>
      <x:c r="C43" s="12" t="str">
        <x:v>Les soins donnés à Alexia pendant la période visée</x:v>
      </x:c>
      <x:c r="D43" s="12" t="str">
        <x:v>P-[●]</x:v>
      </x:c>
      <x:c r="E43" s="12" t="n">
        <x:v>1</x:v>
      </x:c>
      <x:c r="F43" s="12" t="str">
        <x:v>context_required</x:v>
      </x:c>
      <x:c r="G43" s="12" t="str"/>
      <x:c r="H43" s="12" t="str">
        <x:v>generic_or_section_local_placeholder</x:v>
      </x:c>
      <x:c r="I43" s="12" t="str">
        <x:v>85. Les 9 et 16 février 2011, le demandeur a notamment assuré la routine du soir d’Alexia pendant que Mme Ayoub participait à ses cours de danse, comme l’établissent les pièces P-[●] et P-[●];</x:v>
      </x:c>
    </x:row>
    <x:row r="44">
      <x:c r="A44" s="12" t="n">
        <x:v>211</x:v>
      </x:c>
      <x:c r="B44" s="12" t="str">
        <x:v>85</x:v>
      </x:c>
      <x:c r="C44" s="12" t="str">
        <x:v>Les soins donnés à Alexia pendant la période visée</x:v>
      </x:c>
      <x:c r="D44" s="12" t="str">
        <x:v>P-[●]</x:v>
      </x:c>
      <x:c r="E44" s="12" t="n">
        <x:v>2</x:v>
      </x:c>
      <x:c r="F44" s="12" t="str">
        <x:v>context_required</x:v>
      </x:c>
      <x:c r="G44" s="12" t="str"/>
      <x:c r="H44" s="12" t="str">
        <x:v>generic_or_section_local_placeholder</x:v>
      </x:c>
      <x:c r="I44" s="12" t="str">
        <x:v>85. Les 9 et 16 février 2011, le demandeur a notamment assuré la routine du soir d’Alexia pendant que Mme Ayoub participait à ses cours de danse, comme l’établissent les pièces P-[●] et P-[●];</x:v>
      </x:c>
    </x:row>
    <x:row r="45">
      <x:c r="A45" s="12" t="n">
        <x:v>213</x:v>
      </x:c>
      <x:c r="B45" s="12" t="str">
        <x:v>86</x:v>
      </x:c>
      <x:c r="C45" s="12" t="str">
        <x:v>Les soins donnés à Alexia pendant la période visée</x:v>
      </x:c>
      <x:c r="D45" s="12" t="str">
        <x:v>P-[●]</x:v>
      </x:c>
      <x:c r="E45" s="12" t="n">
        <x:v>1</x:v>
      </x:c>
      <x:c r="F45" s="12" t="str">
        <x:v>context_required</x:v>
      </x:c>
      <x:c r="G45" s="12" t="str"/>
      <x:c r="H45" s="12" t="str">
        <x:v>generic_or_section_local_placeholder</x:v>
      </x:c>
      <x:c r="I45" s="12" t="str">
        <x:v>86. Les 8 et 15 mars 2011, le demandeur était également à la résidence familiale afin de s’occuper d’Alexia pendant les cours de danse de Mme Ayoub, comme l’établissent les courriels produits en liasse comme pièce P-[●];</x:v>
      </x:c>
    </x:row>
    <x:row r="46">
      <x:c r="A46" s="12" t="n">
        <x:v>215</x:v>
      </x:c>
      <x:c r="B46" s="12" t="str">
        <x:v>87</x:v>
      </x:c>
      <x:c r="C46" s="12" t="str">
        <x:v>Les soins donnés à Alexia pendant la période visée</x:v>
      </x:c>
      <x:c r="D46" s="12" t="str">
        <x:v>P-[●]</x:v>
      </x:c>
      <x:c r="E46" s="12" t="n">
        <x:v>1</x:v>
      </x:c>
      <x:c r="F46" s="12" t="str">
        <x:v>context_required</x:v>
      </x:c>
      <x:c r="G46" s="12" t="str"/>
      <x:c r="H46" s="12" t="str">
        <x:v>generic_or_section_local_placeholder</x:v>
      </x:c>
      <x:c r="I46" s="12" t="str">
        <x:v>87. Le 7 mars 2011, le demandeur s’est absenté de son travail afin de s’occuper d’Alexia, la personne qui devait en prendre soin ne pouvant se déplacer, comme l’établit la pièce P-[●];</x:v>
      </x:c>
    </x:row>
    <x:row r="47">
      <x:c r="A47" s="12" t="n">
        <x:v>217</x:v>
      </x:c>
      <x:c r="B47" s="12" t="str">
        <x:v>88</x:v>
      </x:c>
      <x:c r="C47" s="12" t="str">
        <x:v>Les soins donnés à Alexia pendant la période visée</x:v>
      </x:c>
      <x:c r="D47" s="12" t="str">
        <x:v>P-[●]</x:v>
      </x:c>
      <x:c r="E47" s="12" t="n">
        <x:v>1</x:v>
      </x:c>
      <x:c r="F47" s="12" t="str">
        <x:v>context_required</x:v>
      </x:c>
      <x:c r="G47" s="12" t="str"/>
      <x:c r="H47" s="12" t="str">
        <x:v>generic_or_section_local_placeholder</x:v>
      </x:c>
      <x:c r="I47" s="12" t="str">
        <x:v>88. Le 2 mai 2011, le demandeur s’est absenté de son travail afin d’accompagner Alexia chez le médecin, comme l’établit la pièce P-[●];</x:v>
      </x:c>
    </x:row>
    <x:row r="48">
      <x:c r="A48" s="12" t="n">
        <x:v>219</x:v>
      </x:c>
      <x:c r="B48" s="12" t="str">
        <x:v>89</x:v>
      </x:c>
      <x:c r="C48" s="12" t="str">
        <x:v>Les soins donnés à Alexia pendant la période visée</x:v>
      </x:c>
      <x:c r="D48" s="12" t="str">
        <x:v>P-[●]</x:v>
      </x:c>
      <x:c r="E48" s="12" t="n">
        <x:v>1</x:v>
      </x:c>
      <x:c r="F48" s="12" t="str">
        <x:v>context_required</x:v>
      </x:c>
      <x:c r="G48" s="12" t="str"/>
      <x:c r="H48" s="12" t="str">
        <x:v>generic_or_section_local_placeholder</x:v>
      </x:c>
      <x:c r="I48" s="12" t="str">
        <x:v>89. Le 25 mai 2011, le demandeur s’est de nouveau absenté de son travail afin d’accompagner Alexia chez son pédiatre pour ses vaccins, comme l’établit la pièce P-[●];</x:v>
      </x:c>
    </x:row>
    <x:row r="49">
      <x:c r="A49" s="12" t="n">
        <x:v>221</x:v>
      </x:c>
      <x:c r="B49" s="12" t="str">
        <x:v>90</x:v>
      </x:c>
      <x:c r="C49" s="12" t="str">
        <x:v>Les soins donnés à Alexia pendant la période visée</x:v>
      </x:c>
      <x:c r="D49" s="12" t="str">
        <x:v>P-[●]</x:v>
      </x:c>
      <x:c r="E49" s="12" t="n">
        <x:v>1</x:v>
      </x:c>
      <x:c r="F49" s="12" t="str">
        <x:v>context_required</x:v>
      </x:c>
      <x:c r="G49" s="12" t="str"/>
      <x:c r="H49" s="12" t="str">
        <x:v>generic_or_section_local_placeholder</x:v>
      </x:c>
      <x:c r="I49" s="12" t="str">
        <x:v>90. Le 6 juillet 2011, à la suite d’une discussion avec Mme Ayoub, le demandeur s’est absenté de son travail parce qu’Alexia était malade, comme l’établit la pièce P-[●];</x:v>
      </x:c>
    </x:row>
    <x:row r="50">
      <x:c r="A50" s="12" t="n">
        <x:v>223</x:v>
      </x:c>
      <x:c r="B50" s="12" t="str">
        <x:v>91</x:v>
      </x:c>
      <x:c r="C50" s="12" t="str">
        <x:v>Les soins donnés à Alexia pendant la période visée</x:v>
      </x:c>
      <x:c r="D50" s="12" t="str">
        <x:v>P-[●]</x:v>
      </x:c>
      <x:c r="E50" s="12" t="n">
        <x:v>1</x:v>
      </x:c>
      <x:c r="F50" s="12" t="str">
        <x:v>context_required</x:v>
      </x:c>
      <x:c r="G50" s="12" t="str"/>
      <x:c r="H50" s="12" t="str">
        <x:v>generic_or_section_local_placeholder</x:v>
      </x:c>
      <x:c r="I50" s="12" t="str">
        <x:v>91. Entre février 2011 et février 2012, le demandeur s’est absenté de son travail à au moins dix reprises afin de s’occuper d’Alexia ou de l’accompagner à des rendez-vous médicaux, comme l’établissent les courriels adressés à ses supérieurs et produits en liasse comme pièce P-[●];</x:v>
      </x:c>
    </x:row>
    <x:row r="51">
      <x:c r="A51" s="12" t="n">
        <x:v>225</x:v>
      </x:c>
      <x:c r="B51" s="12" t="str">
        <x:v>92</x:v>
      </x:c>
      <x:c r="C51" s="12" t="str">
        <x:v>Les soins donnés à Alexia pendant la période visée</x:v>
      </x:c>
      <x:c r="D51" s="12" t="str">
        <x:v>P-[●]</x:v>
      </x:c>
      <x:c r="E51" s="12" t="n">
        <x:v>1</x:v>
      </x:c>
      <x:c r="F51" s="12" t="str">
        <x:v>context_required</x:v>
      </x:c>
      <x:c r="G51" s="12" t="str"/>
      <x:c r="H51" s="12" t="str">
        <x:v>generic_or_section_local_placeholder</x:v>
      </x:c>
      <x:c r="I51" s="12" t="str">
        <x:v>92. Durant cette période, la présence du demandeur auprès d’Alexia est également documentée dans plusieurs activités et événements familiaux datés, dont le tableau récapitulatif est produit comme pièce P-[●];</x:v>
      </x:c>
    </x:row>
    <x:row r="52">
      <x:c r="A52" s="12" t="n">
        <x:v>229</x:v>
      </x:c>
      <x:c r="B52" s="12" t="str">
        <x:v>94</x:v>
      </x:c>
      <x:c r="C52" s="12" t="str">
        <x:v>Les soins donnés à Alexia pendant la période visée</x:v>
      </x:c>
      <x:c r="D52" s="12" t="str">
        <x:v>P-[●]</x:v>
      </x:c>
      <x:c r="E52" s="12" t="n">
        <x:v>1</x:v>
      </x:c>
      <x:c r="F52" s="12" t="str">
        <x:v>context_required</x:v>
      </x:c>
      <x:c r="G52" s="12" t="str"/>
      <x:c r="H52" s="12" t="str">
        <x:v>generic_or_section_local_placeholder</x:v>
      </x:c>
      <x:c r="I52" s="12" t="str">
        <x:v>94. Cette amie lui répondait alors : « C’est bien que tu passes beaucoup de temps avec ta fille, bon papa », le tout tel qu’il appert de l’échange produit comme pièce P-[●];</x:v>
      </x:c>
    </x:row>
    <x:row r="53">
      <x:c r="A53" s="12" t="n">
        <x:v>239</x:v>
      </x:c>
      <x:c r="B53" s="12" t="str">
        <x:v>98</x:v>
      </x:c>
      <x:c r="C53" s="12" t="str">
        <x:v>L’absence de corroboration du constat attribué au contexte thérapeutique</x:v>
      </x:c>
      <x:c r="D53" s="12" t="str">
        <x:v>P-[●]</x:v>
      </x:c>
      <x:c r="E53" s="12" t="n">
        <x:v>1</x:v>
      </x:c>
      <x:c r="F53" s="12" t="str">
        <x:v>context_required</x:v>
      </x:c>
      <x:c r="G53" s="12" t="str"/>
      <x:c r="H53" s="12" t="str">
        <x:v>generic_or_section_local_placeholder</x:v>
      </x:c>
      <x:c r="I53" s="12" t="str">
        <x:v>98. Le courriel rédigé le 11 juin 2013 par Me Marie-Josée Ayoub, dans lequel celle-ci exposait une stratégie relative à la garde des enfants et aux droits d’accès du demandeur, ne faisait état d’aucun constat du psychologue selon lequel le demandeur aurait eu de la difficulté à assumer son rôle de père, comme l’établit la pièce P-[●];</x:v>
      </x:c>
    </x:row>
    <x:row r="54">
      <x:c r="A54" s="12" t="n">
        <x:v>243</x:v>
      </x:c>
      <x:c r="B54" s="12" t="str">
        <x:v>100</x:v>
      </x:c>
      <x:c r="C54" s="12" t="str">
        <x:v>L’absence de corroboration du constat attribué au contexte thérapeutique</x:v>
      </x:c>
      <x:c r="D54" s="12" t="str">
        <x:v>P-[●]</x:v>
      </x:c>
      <x:c r="E54" s="12" t="n">
        <x:v>1</x:v>
      </x:c>
      <x:c r="F54" s="12" t="str">
        <x:v>context_required</x:v>
      </x:c>
      <x:c r="G54" s="12" t="str"/>
      <x:c r="H54" s="12" t="str">
        <x:v>generic_or_section_local_placeholder</x:v>
      </x:c>
      <x:c r="I54" s="12" t="str">
        <x:v>100. Dans ce même échange, Mme Ayoub distinguait l’implication du demandeur auprès des enfants d’une implication correspondant à « 50 % du temps », le tout tel qu’il appert de la pièce P-[●];</x:v>
      </x:c>
    </x:row>
    <x:row r="55">
      <x:c r="A55" s="12" t="n">
        <x:v>258</x:v>
      </x:c>
      <x:c r="B55" s="12" t="str">
        <x:v>106</x:v>
      </x:c>
      <x:c r="C55" s="12" t="str">
        <x:v>L’allégation relative à l’absence du demandeur pendant l’été 2013</x:v>
      </x:c>
      <x:c r="D55" s="12" t="str">
        <x:v>P-[1]</x:v>
      </x:c>
      <x:c r="E55" s="12" t="n">
        <x:v>1</x:v>
      </x:c>
      <x:c r="F55" s="12" t="str">
        <x:v>context_required</x:v>
      </x:c>
      <x:c r="G55" s="12" t="str"/>
      <x:c r="H55" s="12" t="str">
        <x:v>generic_or_section_local_placeholder</x:v>
      </x:c>
      <x:c r="I55" s="12" t="str">
        <x:v>106. Le 19 novembre 2015, dans le dossier de la Cour supérieure portant le numéro 505-04-024603-151, la défenderesse, alors demanderesse, a produit une requête appuyée de son serment, laquelle est produite au soutien des présentes comme pièce P-[1].</x:v>
      </x:c>
    </x:row>
    <x:row r="56">
      <x:c r="A56" s="12" t="n">
        <x:v>268</x:v>
      </x:c>
      <x:c r="B56" s="12" t="str">
        <x:v>110</x:v>
      </x:c>
      <x:c r="C56" s="12" t="str">
        <x:v>L’allégation relative à l’absence du demandeur pendant l’été 2013</x:v>
      </x:c>
      <x:c r="D56" s="12" t="str">
        <x:v>P-[2]</x:v>
      </x:c>
      <x:c r="E56" s="12" t="n">
        <x:v>1</x:v>
      </x:c>
      <x:c r="F56" s="12" t="str">
        <x:v>context_required</x:v>
      </x:c>
      <x:c r="G56" s="12" t="str"/>
      <x:c r="H56" s="12" t="str">
        <x:v>generic_or_section_local_placeholder</x:v>
      </x:c>
      <x:c r="I56" s="12" t="str">
        <x:v>110. Plus précisément, les 16 et 17 juin 2013, le demandeur était à Cape Cod avec ses parents et les membres de sa fratrie, sans les enfants, tel qu’il appert des documents produits en liasse comme pièce P-[2].</x:v>
      </x:c>
    </x:row>
    <x:row r="57">
      <x:c r="A57" s="12" t="n">
        <x:v>270</x:v>
      </x:c>
      <x:c r="B57" s="12" t="str">
        <x:v>111</x:v>
      </x:c>
      <x:c r="C57" s="12" t="str">
        <x:v>L’allégation relative à l’absence du demandeur pendant l’été 2013</x:v>
      </x:c>
      <x:c r="D57" s="12" t="str">
        <x:v>P-[3]</x:v>
      </x:c>
      <x:c r="E57" s="12" t="n">
        <x:v>1</x:v>
      </x:c>
      <x:c r="F57" s="12" t="str">
        <x:v>context_required</x:v>
      </x:c>
      <x:c r="G57" s="12" t="str"/>
      <x:c r="H57" s="12" t="str">
        <x:v>generic_or_section_local_placeholder</x:v>
      </x:c>
      <x:c r="I57" s="12" t="str">
        <x:v>111. Le 27 juin 2013, le demandeur écrivait également à son supérieur qu’il n’avait pas vu les enfants depuis environ deux semaines, tel qu’il appert du courriel produit comme pièce P-[3].</x:v>
      </x:c>
    </x:row>
    <x:row r="58">
      <x:c r="A58" s="12" t="n">
        <x:v>274</x:v>
      </x:c>
      <x:c r="B58" s="12" t="str">
        <x:v>113</x:v>
      </x:c>
      <x:c r="C58" s="12" t="str">
        <x:v>L’allégation relative à l’absence du demandeur pendant l’été 2013</x:v>
      </x:c>
      <x:c r="D58" s="12" t="str">
        <x:v>P-[4]</x:v>
      </x:c>
      <x:c r="E58" s="12" t="n">
        <x:v>1</x:v>
      </x:c>
      <x:c r="F58" s="12" t="str">
        <x:v>context_required</x:v>
      </x:c>
      <x:c r="G58" s="12" t="str"/>
      <x:c r="H58" s="12" t="str">
        <x:v>generic_or_section_local_placeholder</x:v>
      </x:c>
      <x:c r="I58" s="12" t="str">
        <x:v>113. Entre la fin du mois de juin et la fin du mois d’août 2013, le demandeur est documenté à de nombreuses reprises en compagnie de l’un ou l’autre des enfants, tel qu’il appert du tableau chronologique et des documents contemporains produits en liasse comme pièce P-[4].</x:v>
      </x:c>
    </x:row>
    <x:row r="59">
      <x:c r="A59" s="12" t="n">
        <x:v>278</x:v>
      </x:c>
      <x:c r="B59" s="12" t="str">
        <x:v>115</x:v>
      </x:c>
      <x:c r="C59" s="12" t="str">
        <x:v>L’allégation relative à l’absence du demandeur pendant l’été 2013</x:v>
      </x:c>
      <x:c r="D59" s="12" t="str">
        <x:v>P-[5]</x:v>
      </x:c>
      <x:c r="E59" s="12" t="n">
        <x:v>1</x:v>
      </x:c>
      <x:c r="F59" s="12" t="str">
        <x:v>context_required</x:v>
      </x:c>
      <x:c r="G59" s="12" t="str"/>
      <x:c r="H59" s="12" t="str">
        <x:v>generic_or_section_local_placeholder</x:v>
      </x:c>
      <x:c r="I59" s="12" t="str">
        <x:v>115. Ces dates ont été corroborées par un représentant du centre d’escalade Allez Up à partir des transactions par lesquelles le demandeur avait acquitté des droits d’entrée pour enfant, tel qu’il appert de l’échange produit comme pièce P-[5].</x:v>
      </x:c>
    </x:row>
    <x:row r="60">
      <x:c r="A60" s="12" t="n">
        <x:v>290</x:v>
      </x:c>
      <x:c r="B60" s="12" t="str">
        <x:v>116</x:v>
      </x:c>
      <x:c r="C60" s="12" t="str">
        <x:v>L’allégation relative à l’absence du demandeur pendant l’été 2013</x:v>
      </x:c>
      <x:c r="D60" s="12" t="str">
        <x:v>P-[6]</x:v>
      </x:c>
      <x:c r="E60" s="12" t="n">
        <x:v>1</x:v>
      </x:c>
      <x:c r="F60" s="12" t="str">
        <x:v>context_required</x:v>
      </x:c>
      <x:c r="G60" s="12" t="str"/>
      <x:c r="H60" s="12" t="str">
        <x:v>generic_or_section_local_placeholder</x:v>
      </x:c>
      <x:c r="I60" s="12" t="str">
        <x:v>le tout tel qu’il appert des documents produits en liasse comme pièce P-[6].</x:v>
      </x:c>
    </x:row>
    <x:row r="61">
      <x:c r="A61" s="12" t="n">
        <x:v>292</x:v>
      </x:c>
      <x:c r="B61" s="12" t="str">
        <x:v>117</x:v>
      </x:c>
      <x:c r="C61" s="12" t="str">
        <x:v>L’allégation relative à l’absence du demandeur pendant l’été 2013</x:v>
      </x:c>
      <x:c r="D61" s="12" t="str">
        <x:v>P-[7]</x:v>
      </x:c>
      <x:c r="E61" s="12" t="n">
        <x:v>1</x:v>
      </x:c>
      <x:c r="F61" s="12" t="str">
        <x:v>context_required</x:v>
      </x:c>
      <x:c r="G61" s="12" t="str"/>
      <x:c r="H61" s="12" t="str">
        <x:v>generic_or_section_local_placeholder</x:v>
      </x:c>
      <x:c r="I61" s="12" t="str">
        <x:v>117. Le 13 juillet 2013, le demandeur était avec Alexia sur le voilier de ses parents, tel qu’il appert de la pièce P-[7].</x:v>
      </x:c>
    </x:row>
    <x:row r="62">
      <x:c r="A62" s="12" t="n">
        <x:v>294</x:v>
      </x:c>
      <x:c r="B62" s="12" t="str">
        <x:v>118</x:v>
      </x:c>
      <x:c r="C62" s="12" t="str">
        <x:v>L’allégation relative à l’absence du demandeur pendant l’été 2013</x:v>
      </x:c>
      <x:c r="D62" s="12" t="str">
        <x:v>P-[8]</x:v>
      </x:c>
      <x:c r="E62" s="12" t="n">
        <x:v>1</x:v>
      </x:c>
      <x:c r="F62" s="12" t="str">
        <x:v>context_required</x:v>
      </x:c>
      <x:c r="G62" s="12" t="str"/>
      <x:c r="H62" s="12" t="str">
        <x:v>generic_or_section_local_placeholder</x:v>
      </x:c>
      <x:c r="I62" s="12" t="str">
        <x:v>118. Du 11 au 16 août 2013, le demandeur a séjourné à Cape Cod avec Alexia et Nicolas, tel qu’il appert des documents produits en liasse comme pièce P-[8].</x:v>
      </x:c>
    </x:row>
    <x:row r="63">
      <x:c r="A63" s="12" t="n">
        <x:v>296</x:v>
      </x:c>
      <x:c r="B63" s="12" t="str">
        <x:v>119</x:v>
      </x:c>
      <x:c r="C63" s="12" t="str">
        <x:v>L’allégation relative à l’absence du demandeur pendant l’été 2013</x:v>
      </x:c>
      <x:c r="D63" s="12" t="str">
        <x:v>P-[9]</x:v>
      </x:c>
      <x:c r="E63" s="12" t="n">
        <x:v>1</x:v>
      </x:c>
      <x:c r="F63" s="12" t="str">
        <x:v>context_required</x:v>
      </x:c>
      <x:c r="G63" s="12" t="str"/>
      <x:c r="H63" s="12" t="str">
        <x:v>generic_or_section_local_placeholder</x:v>
      </x:c>
      <x:c r="I63" s="12" t="str">
        <x:v>119. Le 21 août 2013, le demandeur a accompagné Alexia au Village du Père Noël et, le 24 août suivant, il a assisté à la remise des médailles de sa saison de soccer, tel qu’il appert des pièces P-[9] et P-[10].</x:v>
      </x:c>
    </x:row>
    <x:row r="64">
      <x:c r="A64" s="12" t="n">
        <x:v>296</x:v>
      </x:c>
      <x:c r="B64" s="12" t="str">
        <x:v>119</x:v>
      </x:c>
      <x:c r="C64" s="12" t="str">
        <x:v>L’allégation relative à l’absence du demandeur pendant l’été 2013</x:v>
      </x:c>
      <x:c r="D64" s="12" t="str">
        <x:v>P-[10]</x:v>
      </x:c>
      <x:c r="E64" s="12" t="n">
        <x:v>2</x:v>
      </x:c>
      <x:c r="F64" s="12" t="str">
        <x:v>context_required</x:v>
      </x:c>
      <x:c r="G64" s="12" t="str"/>
      <x:c r="H64" s="12" t="str">
        <x:v>generic_or_section_local_placeholder</x:v>
      </x:c>
      <x:c r="I64" s="12" t="str">
        <x:v>119. Le 21 août 2013, le demandeur a accompagné Alexia au Village du Père Noël et, le 24 août suivant, il a assisté à la remise des médailles de sa saison de soccer, tel qu’il appert des pièces P-[9] et P-[10].</x:v>
      </x:c>
    </x:row>
    <x:row r="65">
      <x:c r="A65" s="12" t="n">
        <x:v>302</x:v>
      </x:c>
      <x:c r="B65" s="12" t="str">
        <x:v>122</x:v>
      </x:c>
      <x:c r="C65" s="12" t="str">
        <x:v>L’allégation relative à l’absence du demandeur pendant l’été 2013</x:v>
      </x:c>
      <x:c r="D65" s="12" t="str">
        <x:v>P-[11]</x:v>
      </x:c>
      <x:c r="E65" s="12" t="n">
        <x:v>1</x:v>
      </x:c>
      <x:c r="F65" s="12" t="str">
        <x:v>context_required</x:v>
      </x:c>
      <x:c r="G65" s="12" t="str"/>
      <x:c r="H65" s="12" t="str">
        <x:v>generic_or_section_local_placeholder</x:v>
      </x:c>
      <x:c r="I65" s="12" t="str">
        <x:v>122. Ainsi, dans un échange des 29 et 30 juillet 2013, la mère du demandeur s’attendait à ce qu’il se présente avec Nicolas, auquel le demandeur répondait qu’il n’y avait pas de soccer le lendemain, tel qu’il appert de l’échange produit comme pièce P-[11].</x:v>
      </x:c>
    </x:row>
    <x:row r="66">
      <x:c r="A66" s="12" t="n">
        <x:v>304</x:v>
      </x:c>
      <x:c r="B66" s="12" t="str">
        <x:v>123</x:v>
      </x:c>
      <x:c r="C66" s="12" t="str">
        <x:v>L’allégation relative à l’absence du demandeur pendant l’été 2013</x:v>
      </x:c>
      <x:c r="D66" s="12" t="str">
        <x:v>P-[12]</x:v>
      </x:c>
      <x:c r="E66" s="12" t="n">
        <x:v>1</x:v>
      </x:c>
      <x:c r="F66" s="12" t="str">
        <x:v>context_required</x:v>
      </x:c>
      <x:c r="G66" s="12" t="str"/>
      <x:c r="H66" s="12" t="str">
        <x:v>generic_or_section_local_placeholder</x:v>
      </x:c>
      <x:c r="I66" s="12" t="str">
        <x:v>123. Le 19 juillet 2013, le demandeur écrivait dans une communication privée contemporaine qu’il voyait les enfants tous les jours, qu’il soupait à la résidence familiale avec la défenderesse et qu’il couchait chez ses parents depuis environ un mois, tel qu’il appert du courriel produit comme pièce P-[12].</x:v>
      </x:c>
    </x:row>
    <x:row r="67">
      <x:c r="A67" s="12" t="n">
        <x:v>308</x:v>
      </x:c>
      <x:c r="B67" s="12" t="str">
        <x:v>125</x:v>
      </x:c>
      <x:c r="C67" s="12" t="str">
        <x:v>L’allégation relative à l’absence du demandeur pendant l’été 2013</x:v>
      </x:c>
      <x:c r="D67" s="12" t="str">
        <x:v>P-[13]</x:v>
      </x:c>
      <x:c r="E67" s="12" t="n">
        <x:v>1</x:v>
      </x:c>
      <x:c r="F67" s="12" t="str">
        <x:v>context_required</x:v>
      </x:c>
      <x:c r="G67" s="12" t="str"/>
      <x:c r="H67" s="12" t="str">
        <x:v>generic_or_section_local_placeholder</x:v>
      </x:c>
      <x:c r="I67" s="12" t="str">
        <x:v>125. Le demandeur expliquait également qu’il ne pouvait dormir dans le sous-sol de la résidence familiale puisque celui-ci avait été démoli à la suite d’une inondation survenue en 2012 et n’avait pas été reconstruit, tel qu’il appert des pièces P-[13] et P-[14].</x:v>
      </x:c>
    </x:row>
    <x:row r="68">
      <x:c r="A68" s="12" t="n">
        <x:v>308</x:v>
      </x:c>
      <x:c r="B68" s="12" t="str">
        <x:v>125</x:v>
      </x:c>
      <x:c r="C68" s="12" t="str">
        <x:v>L’allégation relative à l’absence du demandeur pendant l’été 2013</x:v>
      </x:c>
      <x:c r="D68" s="12" t="str">
        <x:v>P-[14]</x:v>
      </x:c>
      <x:c r="E68" s="12" t="n">
        <x:v>2</x:v>
      </x:c>
      <x:c r="F68" s="12" t="str">
        <x:v>context_required</x:v>
      </x:c>
      <x:c r="G68" s="12" t="str"/>
      <x:c r="H68" s="12" t="str">
        <x:v>generic_or_section_local_placeholder</x:v>
      </x:c>
      <x:c r="I68" s="12" t="str">
        <x:v>125. Le demandeur expliquait également qu’il ne pouvait dormir dans le sous-sol de la résidence familiale puisque celui-ci avait été démoli à la suite d’une inondation survenue en 2012 et n’avait pas été reconstruit, tel qu’il appert des pièces P-[13] et P-[14].</x:v>
      </x:c>
    </x:row>
    <x:row r="69">
      <x:c r="A69" s="12" t="n">
        <x:v>312</x:v>
      </x:c>
      <x:c r="B69" s="12" t="str">
        <x:v>127</x:v>
      </x:c>
      <x:c r="C69" s="12" t="str">
        <x:v>L’allégation relative à l’absence du demandeur pendant l’été 2013</x:v>
      </x:c>
      <x:c r="D69" s="12" t="str">
        <x:v>P-[15]</x:v>
      </x:c>
      <x:c r="E69" s="12" t="n">
        <x:v>1</x:v>
      </x:c>
      <x:c r="F69" s="12" t="str">
        <x:v>context_required</x:v>
      </x:c>
      <x:c r="G69" s="12" t="str"/>
      <x:c r="H69" s="12" t="str">
        <x:v>generic_or_section_local_placeholder</x:v>
      </x:c>
      <x:c r="I69" s="12" t="str">
        <x:v>127. Pendant la même période, soit entre les 14 et 19 juillet 2013, la défenderesse a organisé une fête d’anniversaire-surprise pour le demandeur, en invitant leurs proches et leurs enfants et en coordonnant la présence du demandeur à la résidence, tel qu’il appert des communications et photographies produites en liasse comme pièce P-[15].</x:v>
      </x:c>
    </x:row>
    <x:row r="70">
      <x:c r="A70" s="12" t="n">
        <x:v>314</x:v>
      </x:c>
      <x:c r="B70" s="12" t="str">
        <x:v>128</x:v>
      </x:c>
      <x:c r="C70" s="12" t="str">
        <x:v>L’allégation relative à l’absence du demandeur pendant l’été 2013</x:v>
      </x:c>
      <x:c r="D70" s="12" t="str">
        <x:v>P-[16]</x:v>
      </x:c>
      <x:c r="E70" s="12" t="n">
        <x:v>1</x:v>
      </x:c>
      <x:c r="F70" s="12" t="str">
        <x:v>context_required</x:v>
      </x:c>
      <x:c r="G70" s="12" t="str"/>
      <x:c r="H70" s="12" t="str">
        <x:v>generic_or_section_local_placeholder</x:v>
      </x:c>
      <x:c r="I70" s="12" t="str">
        <x:v>128. Dans les semaines suivant la période visée, soit le 10 septembre 2013, la défenderesse a également proposé au demandeur un voyage familial pour les deux parties et les deux enfants, tel qu’il appert de l’échange produit comme pièce P-[16].</x:v>
      </x:c>
    </x:row>
    <x:row r="71">
      <x:c r="A71" s="12" t="n">
        <x:v>327</x:v>
      </x:c>
      <x:c r="B71" s="12" t="str">
        <x:v>134</x:v>
      </x:c>
      <x:c r="C71" s="12" t="str">
        <x:v>Les allégations relatives à l’implication parentale du demandeur et au refus de la garde partagée</x:v>
      </x:c>
      <x:c r="D71" s="12" t="str">
        <x:v>P-[1]</x:v>
      </x:c>
      <x:c r="E71" s="12" t="n">
        <x:v>1</x:v>
      </x:c>
      <x:c r="F71" s="12" t="str">
        <x:v>context_required</x:v>
      </x:c>
      <x:c r="G71" s="12" t="str"/>
      <x:c r="H71" s="12" t="str">
        <x:v>generic_or_section_local_placeholder</x:v>
      </x:c>
      <x:c r="I71" s="12" t="str">
        <x:v>134. Le 19 novembre 2015, dans le dossier de la Cour supérieure portant le numéro 505-04-024603-151, la défenderesse, alors demanderesse, a produit une requête appuyée de son serment, laquelle est produite au soutien des présentes comme pièce P-[1].</x:v>
      </x:c>
    </x:row>
    <x:row r="72">
      <x:c r="A72" s="12" t="n">
        <x:v>345</x:v>
      </x:c>
      <x:c r="B72" s="12" t="str">
        <x:v>138</x:v>
      </x:c>
      <x:c r="C72" s="12" t="str">
        <x:v>Le motif contemporain du refus et l’évolution des négociations</x:v>
      </x:c>
      <x:c r="D72" s="12" t="str">
        <x:v>P-[2]</x:v>
      </x:c>
      <x:c r="E72" s="12" t="n">
        <x:v>1</x:v>
      </x:c>
      <x:c r="F72" s="12" t="str">
        <x:v>context_required</x:v>
      </x:c>
      <x:c r="G72" s="12" t="str"/>
      <x:c r="H72" s="12" t="str">
        <x:v>generic_or_section_local_placeholder</x:v>
      </x:c>
      <x:c r="I72" s="12" t="str">
        <x:v>138. Le 20 avril 2015, le demandeur, par l’entremise de son procureur, a transmis une proposition formelle de garde partagée selon un horaire de type 2-2-3, comme il appert de la correspondance produite comme pièce P-[2].</x:v>
      </x:c>
    </x:row>
    <x:row r="73">
      <x:c r="A73" s="12" t="n">
        <x:v>347</x:v>
      </x:c>
      <x:c r="B73" s="12" t="str">
        <x:v>139</x:v>
      </x:c>
      <x:c r="C73" s="12" t="str">
        <x:v>Le motif contemporain du refus et l’évolution des négociations</x:v>
      </x:c>
      <x:c r="D73" s="12" t="str">
        <x:v>P-[3]</x:v>
      </x:c>
      <x:c r="E73" s="12" t="n">
        <x:v>1</x:v>
      </x:c>
      <x:c r="F73" s="12" t="str">
        <x:v>context_required</x:v>
      </x:c>
      <x:c r="G73" s="12" t="str"/>
      <x:c r="H73" s="12" t="str">
        <x:v>generic_or_section_local_placeholder</x:v>
      </x:c>
      <x:c r="I73" s="12" t="str">
        <x:v>139. Le 27 avril 2015, Me Marie-Josée Ayoub a répondu à cette proposition au nom de la défenderesse, comme il appert de la correspondance produite comme pièce P-[3].</x:v>
      </x:c>
    </x:row>
    <x:row r="74">
      <x:c r="A74" s="12" t="n">
        <x:v>355</x:v>
      </x:c>
      <x:c r="B74" s="12" t="str">
        <x:v>143</x:v>
      </x:c>
      <x:c r="C74" s="12" t="str">
        <x:v>Le motif contemporain du refus et l’évolution des négociations</x:v>
      </x:c>
      <x:c r="D74" s="12" t="str">
        <x:v>P-[4]</x:v>
      </x:c>
      <x:c r="E74" s="12" t="n">
        <x:v>1</x:v>
      </x:c>
      <x:c r="F74" s="12" t="str">
        <x:v>context_required</x:v>
      </x:c>
      <x:c r="G74" s="12" t="str"/>
      <x:c r="H74" s="12" t="str">
        <x:v>generic_or_section_local_placeholder</x:v>
      </x:c>
      <x:c r="I74" s="12" t="str">
        <x:v>143. Le 13 août 2015, la défenderesse, par l’entremise de Me Ayoub, a transmis un projet de consentement prévoyant une augmentation progressive des périodes passées par les enfants avec le demandeur, comme il appert du projet produit comme pièce P-[4].</x:v>
      </x:c>
    </x:row>
    <x:row r="75">
      <x:c r="A75" s="12" t="n">
        <x:v>359</x:v>
      </x:c>
      <x:c r="B75" s="12" t="str">
        <x:v>145</x:v>
      </x:c>
      <x:c r="C75" s="12" t="str">
        <x:v>Le motif contemporain du refus et l’évolution des négociations</x:v>
      </x:c>
      <x:c r="D75" s="12" t="str">
        <x:v>P-[5]</x:v>
      </x:c>
      <x:c r="E75" s="12" t="n">
        <x:v>1</x:v>
      </x:c>
      <x:c r="F75" s="12" t="str">
        <x:v>context_required</x:v>
      </x:c>
      <x:c r="G75" s="12" t="str"/>
      <x:c r="H75" s="12" t="str">
        <x:v>generic_or_section_local_placeholder</x:v>
      </x:c>
      <x:c r="I75" s="12" t="str">
        <x:v>145. Le 2 septembre 2015, le demandeur a répondu qu’il était disposé à établir une progression des périodes passées avec les enfants, comme il appert de la correspondance produite comme pièce P-[5].</x:v>
      </x:c>
    </x:row>
    <x:row r="76">
      <x:c r="A76" s="12" t="n">
        <x:v>373</x:v>
      </x:c>
      <x:c r="B76" s="12" t="str">
        <x:v>151</x:v>
      </x:c>
      <x:c r="C76" s="12" t="str">
        <x:v>La prise en charge des enfants pendant la vie commune</x:v>
      </x:c>
      <x:c r="D76" s="12" t="str">
        <x:v>P-[6]</x:v>
      </x:c>
      <x:c r="E76" s="12" t="n">
        <x:v>1</x:v>
      </x:c>
      <x:c r="F76" s="12" t="str">
        <x:v>context_required</x:v>
      </x:c>
      <x:c r="G76" s="12" t="str"/>
      <x:c r="H76" s="12" t="str">
        <x:v>generic_or_section_local_placeholder</x:v>
      </x:c>
      <x:c r="I76" s="12" t="str">
        <x:v>151. Lors de la naissance d’Alexia en octobre 2009, les trente-deux semaines de prestations parentales partageables du Régime québécois d’assurance parentale ont été prises par la défenderesse, alors que le demandeur a pris ses cinq semaines de prestations de paternité et a demandé deux semaines additionnelles, comme il appert du dossier produit comme pièce P-[6].</x:v>
      </x:c>
    </x:row>
    <x:row r="77">
      <x:c r="A77" s="12" t="n">
        <x:v>375</x:v>
      </x:c>
      <x:c r="B77" s="12" t="str">
        <x:v>152</x:v>
      </x:c>
      <x:c r="C77" s="12" t="str">
        <x:v>La prise en charge des enfants pendant la vie commune</x:v>
      </x:c>
      <x:c r="D77" s="12" t="str">
        <x:v>P-[7]</x:v>
      </x:c>
      <x:c r="E77" s="12" t="n">
        <x:v>1</x:v>
      </x:c>
      <x:c r="F77" s="12" t="str">
        <x:v>context_required</x:v>
      </x:c>
      <x:c r="G77" s="12" t="str"/>
      <x:c r="H77" s="12" t="str">
        <x:v>generic_or_section_local_placeholder</x:v>
      </x:c>
      <x:c r="I77" s="12" t="str">
        <x:v>152. Au cours de la vie commune, la défenderesse participait régulièrement à des activités de danse en soirée, notamment à des cours et à des activités d’enseignement, comme il appert de sa biographie, des calendriers et des communications contemporaines produits en liasse comme pièce P-[7].</x:v>
      </x:c>
    </x:row>
    <x:row r="78">
      <x:c r="A78" s="12" t="n">
        <x:v>379</x:v>
      </x:c>
      <x:c r="B78" s="12" t="str">
        <x:v>154</x:v>
      </x:c>
      <x:c r="C78" s="12" t="str">
        <x:v>La prise en charge des enfants pendant la vie commune</x:v>
      </x:c>
      <x:c r="D78" s="12" t="str">
        <x:v>P-[7]</x:v>
      </x:c>
      <x:c r="E78" s="12" t="n">
        <x:v>1</x:v>
      </x:c>
      <x:c r="F78" s="12" t="str">
        <x:v>context_required</x:v>
      </x:c>
      <x:c r="G78" s="12" t="str"/>
      <x:c r="H78" s="12" t="str">
        <x:v>generic_or_section_local_placeholder</x:v>
      </x:c>
      <x:c r="I78" s="12" t="str">
        <x:v>154. À titre d’exemple, les 9 et 16 février 2011, le demandeur a assumé la routine du soir d’Alexia pendant que la défenderesse assistait à ses activités de danse, comme il appert des inscriptions contemporaines produites sous la pièce P-[7].</x:v>
      </x:c>
    </x:row>
    <x:row r="79">
      <x:c r="A79" s="12" t="n">
        <x:v>381</x:v>
      </x:c>
      <x:c r="B79" s="12" t="str">
        <x:v>155</x:v>
      </x:c>
      <x:c r="C79" s="12" t="str">
        <x:v>La prise en charge des enfants pendant la vie commune</x:v>
      </x:c>
      <x:c r="D79" s="12" t="str">
        <x:v>P-[7]</x:v>
      </x:c>
      <x:c r="E79" s="12" t="n">
        <x:v>1</x:v>
      </x:c>
      <x:c r="F79" s="12" t="str">
        <x:v>context_required</x:v>
      </x:c>
      <x:c r="G79" s="12" t="str"/>
      <x:c r="H79" s="12" t="str">
        <x:v>generic_or_section_local_placeholder</x:v>
      </x:c>
      <x:c r="I79" s="12" t="str">
        <x:v>155. Le 6 mars 2012, le demandeur a informé la défenderesse qu’il aménageait son horaire de travail afin de rentrer plus tôt et de prendre le relais auprès d’Alexia parce que la défenderesse dansait ce soir-là, comme il appert de la communication également produite sous la pièce P-[7].</x:v>
      </x:c>
    </x:row>
    <x:row r="80">
      <x:c r="A80" s="12" t="n">
        <x:v>383</x:v>
      </x:c>
      <x:c r="B80" s="12" t="str">
        <x:v>156</x:v>
      </x:c>
      <x:c r="C80" s="12" t="str">
        <x:v>La prise en charge des enfants pendant la vie commune</x:v>
      </x:c>
      <x:c r="D80" s="12" t="str">
        <x:v>P-[8]</x:v>
      </x:c>
      <x:c r="E80" s="12" t="n">
        <x:v>1</x:v>
      </x:c>
      <x:c r="F80" s="12" t="str">
        <x:v>context_required</x:v>
      </x:c>
      <x:c r="G80" s="12" t="str"/>
      <x:c r="H80" s="12" t="str">
        <x:v>generic_or_section_local_placeholder</x:v>
      </x:c>
      <x:c r="I80" s="12" t="str">
        <x:v>156. Entre 2011 et 2015, le demandeur a, à de nombreuses reprises documentées, interrompu ou modifié son travail afin de rester avec un enfant malade ou de l’accompagner à un rendez-vous médical, comme il appert des communications adressées à son employeur et produites en liasse comme pièce P-[8].</x:v>
      </x:c>
    </x:row>
    <x:row r="81">
      <x:c r="A81" s="12" t="n">
        <x:v>387</x:v>
      </x:c>
      <x:c r="B81" s="12" t="str">
        <x:v>158</x:v>
      </x:c>
      <x:c r="C81" s="12" t="str">
        <x:v>La prise en charge des enfants pendant la vie commune</x:v>
      </x:c>
      <x:c r="D81" s="12" t="str">
        <x:v>P-[8]</x:v>
      </x:c>
      <x:c r="E81" s="12" t="n">
        <x:v>1</x:v>
      </x:c>
      <x:c r="F81" s="12" t="str">
        <x:v>context_required</x:v>
      </x:c>
      <x:c r="G81" s="12" t="str"/>
      <x:c r="H81" s="12" t="str">
        <x:v>generic_or_section_local_placeholder</x:v>
      </x:c>
      <x:c r="I81" s="12" t="str">
        <x:v>158. À titre d’exemple, le 6 juillet 2011, le demandeur a informé ses supérieurs qu’il demeurerait à la maison avec sa fille malade, comme il appert de la communication comprise dans la pièce P-[8].</x:v>
      </x:c>
    </x:row>
    <x:row r="82">
      <x:c r="A82" s="12" t="n">
        <x:v>389</x:v>
      </x:c>
      <x:c r="B82" s="12" t="str">
        <x:v>159</x:v>
      </x:c>
      <x:c r="C82" s="12" t="str">
        <x:v>La prise en charge des enfants pendant la vie commune</x:v>
      </x:c>
      <x:c r="D82" s="12" t="str">
        <x:v>P-[8]</x:v>
      </x:c>
      <x:c r="E82" s="12" t="n">
        <x:v>1</x:v>
      </x:c>
      <x:c r="F82" s="12" t="str">
        <x:v>context_required</x:v>
      </x:c>
      <x:c r="G82" s="12" t="str"/>
      <x:c r="H82" s="12" t="str">
        <x:v>generic_or_section_local_placeholder</x:v>
      </x:c>
      <x:c r="I82" s="12" t="str">
        <x:v>159. Le 19 décembre 2014, le demandeur a également informé son employeur qu’il demeurait à la maison pour prendre soin d’un enfant malade et que la défenderesse prendrait la relève au besoin, comme il appert de la communication comprise dans la pièce P-[8].</x:v>
      </x:c>
    </x:row>
    <x:row r="83">
      <x:c r="A83" s="12" t="n">
        <x:v>391</x:v>
      </x:c>
      <x:c r="B83" s="12" t="str">
        <x:v>160</x:v>
      </x:c>
      <x:c r="C83" s="12" t="str">
        <x:v>La prise en charge des enfants pendant la vie commune</x:v>
      </x:c>
      <x:c r="D83" s="12" t="str">
        <x:v>P-[9]</x:v>
      </x:c>
      <x:c r="E83" s="12" t="n">
        <x:v>1</x:v>
      </x:c>
      <x:c r="F83" s="12" t="str">
        <x:v>context_required</x:v>
      </x:c>
      <x:c r="G83" s="12" t="str"/>
      <x:c r="H83" s="12" t="str">
        <x:v>generic_or_section_local_placeholder</x:v>
      </x:c>
      <x:c r="I83" s="12" t="str">
        <x:v>160. Le demandeur participait également à la logistique quotidienne de la garderie et de l’école, notamment aux routines du matin, aux déplacements et à la récupération des enfants, comme il appert des communications et inscriptions produites en liasse comme pièce P-[9].</x:v>
      </x:c>
    </x:row>
    <x:row r="84">
      <x:c r="A84" s="12" t="n">
        <x:v>399</x:v>
      </x:c>
      <x:c r="B84" s="12" t="str">
        <x:v>164</x:v>
      </x:c>
      <x:c r="C84" s="12" t="str">
        <x:v>La prise en charge des enfants pendant la vie commune</x:v>
      </x:c>
      <x:c r="D84" s="12" t="str">
        <x:v>P-[10]</x:v>
      </x:c>
      <x:c r="E84" s="12" t="n">
        <x:v>1</x:v>
      </x:c>
      <x:c r="F84" s="12" t="str">
        <x:v>context_required</x:v>
      </x:c>
      <x:c r="G84" s="12" t="str"/>
      <x:c r="H84" s="12" t="str">
        <x:v>generic_or_section_local_placeholder</x:v>
      </x:c>
      <x:c r="I84" s="12" t="str">
        <x:v>164. Sa présence est notamment documentée lors de cours de natation, d’activités de gymnastique, de récitals, de parties de soccer, de sorties au parc et d’autres activités familiales, comme il appert des documents et photographies produits en liasse comme pièce P-[10].</x:v>
      </x:c>
    </x:row>
    <x:row r="85">
      <x:c r="A85" s="12" t="n">
        <x:v>405</x:v>
      </x:c>
      <x:c r="B85" s="12" t="str">
        <x:v>166</x:v>
      </x:c>
      <x:c r="C85" s="12" t="str">
        <x:v>Les déclarations postérieures de la défenderesse</x:v>
      </x:c>
      <x:c r="D85" s="12" t="str">
        <x:v>P-[11]</x:v>
      </x:c>
      <x:c r="E85" s="12" t="n">
        <x:v>1</x:v>
      </x:c>
      <x:c r="F85" s="12" t="str">
        <x:v>context_required</x:v>
      </x:c>
      <x:c r="G85" s="12" t="str"/>
      <x:c r="H85" s="12" t="str">
        <x:v>generic_or_section_local_placeholder</x:v>
      </x:c>
      <x:c r="I85" s="12" t="str">
        <x:v>166. Le 11 janvier 2016, le demandeur a interpellé la défenderesse au sujet de l’allégation de la requête selon laquelle il aurait été peu impliqué auprès d’Alexia lorsqu’il se trouvait à la maison, comme il appert de l’échange produit comme pièce P-[11].</x:v>
      </x:c>
    </x:row>
    <x:row r="86">
      <x:c r="A86" s="12" t="n">
        <x:v>415</x:v>
      </x:c>
      <x:c r="B86" s="12" t="str">
        <x:v>171</x:v>
      </x:c>
      <x:c r="C86" s="12" t="str">
        <x:v>Les déclarations postérieures de la défenderesse</x:v>
      </x:c>
      <x:c r="D86" s="12" t="str">
        <x:v>P-[12]</x:v>
      </x:c>
      <x:c r="E86" s="12" t="n">
        <x:v>1</x:v>
      </x:c>
      <x:c r="F86" s="12" t="str">
        <x:v>context_required</x:v>
      </x:c>
      <x:c r="G86" s="12" t="str"/>
      <x:c r="H86" s="12" t="str">
        <x:v>generic_or_section_local_placeholder</x:v>
      </x:c>
      <x:c r="I86" s="12" t="str">
        <x:v>171. Le 16 septembre 2016, la défenderesse a par ailleurs écrit au demandeur qu’elle ne l’avait jamais traité d’incapable et qu’elle lui avait plutôt parlé du lien d’attachement des enfants, comme il appert de l’échange produit comme pièce P-[12].</x:v>
      </x:c>
    </x:row>
    <x:row r="87">
      <x:c r="A87" s="12" t="n">
        <x:v>421</x:v>
      </x:c>
      <x:c r="B87" s="12" t="str">
        <x:v>173</x:v>
      </x:c>
      <x:c r="C87" s="12" t="str">
        <x:v>Le contexte documentaire antérieur</x:v>
      </x:c>
      <x:c r="D87" s="12" t="str">
        <x:v>P-[13]</x:v>
      </x:c>
      <x:c r="E87" s="12" t="n">
        <x:v>1</x:v>
      </x:c>
      <x:c r="F87" s="12" t="str">
        <x:v>context_required</x:v>
      </x:c>
      <x:c r="G87" s="12" t="str"/>
      <x:c r="H87" s="12" t="str">
        <x:v>generic_or_section_local_placeholder</x:v>
      </x:c>
      <x:c r="I87" s="12" t="str">
        <x:v>173. Le 11 juin 2013, Me Marie-Josée Ayoub avait transmis à la défenderesse un courriel proposant notamment que le demandeur quitte la résidence familiale, que ses contacts soient limités à des accès sans coucher et que les enfants demeurent avec la défenderesse pendant la procédure, comme il appert du courriel produit comme pièce P-[13].</x:v>
      </x:c>
    </x:row>
    <x:row r="88">
      <x:c r="A88" s="12" t="n">
        <x:v>442</x:v>
      </x:c>
      <x:c r="B88" s="12" t="str">
        <x:v>182</x:v>
      </x:c>
      <x:c r="C88" s="12" t="str">
        <x:v>Les représentations relatives à la prétendue entente sur la garde des enfants</x:v>
      </x:c>
      <x:c r="D88" s="12" t="str">
        <x:v>P-[requête du 19 novembre 2015]</x:v>
      </x:c>
      <x:c r="E88" s="12" t="n">
        <x:v>1</x:v>
      </x:c>
      <x:c r="F88" s="12" t="str">
        <x:v>proposed_strong</x:v>
      </x:c>
      <x:c r="G88" s="12" t="str">
        <x:v>P-19</x:v>
      </x:c>
      <x:c r="H88" s="12" t="str">
        <x:v>description_explicit</x:v>
      </x:c>
      <x:c r="I88" s="12" t="str">
        <x:v>182. Le 19 novembre 2015, dans le dossier de la Cour supérieure portant le numéro 505-04-024603-151, la défenderesse Élise Ayoub, alors demanderesse, a produit une requête appuyée de son serment, laquelle est produite au soutien des présentes comme pièce P-[requête du 19 novembre 2015].</x:v>
      </x:c>
    </x:row>
    <x:row r="89">
      <x:c r="A89" s="12" t="n">
        <x:v>456</x:v>
      </x:c>
      <x:c r="B89" s="12" t="str">
        <x:v>186</x:v>
      </x:c>
      <x:c r="C89" s="12" t="str">
        <x:v>Les représentations relatives à la prétendue entente sur la garde des enfants</x:v>
      </x:c>
      <x:c r="D89" s="12" t="str">
        <x:v>P-[courriel du 11 juin 2013]</x:v>
      </x:c>
      <x:c r="E89" s="12" t="n">
        <x:v>1</x:v>
      </x:c>
      <x:c r="F89" s="12" t="str">
        <x:v>proposed_strong</x:v>
      </x:c>
      <x:c r="G89" s="12" t="str">
        <x:v>P-2</x:v>
      </x:c>
      <x:c r="H89" s="12" t="str">
        <x:v>description_explicit</x:v>
      </x:c>
      <x:c r="I89" s="12" t="str">
        <x:v>le tout tel qu’il appert du courriel du 11 juin 2013, pièce P-[courriel du 11 juin 2013].</x:v>
      </x:c>
    </x:row>
    <x:row r="90">
      <x:c r="A90" s="12" t="n">
        <x:v>464</x:v>
      </x:c>
      <x:c r="B90" s="12" t="str">
        <x:v>188</x:v>
      </x:c>
      <x:c r="C90" s="12" t="str">
        <x:v>Les représentations relatives à la prétendue entente sur la garde des enfants</x:v>
      </x:c>
      <x:c r="D90" s="12" t="str">
        <x:v>P-[lettre du 27 avril 2015]</x:v>
      </x:c>
      <x:c r="E90" s="12" t="n">
        <x:v>1</x:v>
      </x:c>
      <x:c r="F90" s="12" t="str">
        <x:v>proposed_strong</x:v>
      </x:c>
      <x:c r="G90" s="12" t="str">
        <x:v>P-9</x:v>
      </x:c>
      <x:c r="H90" s="12" t="str">
        <x:v>description_explicit</x:v>
      </x:c>
      <x:c r="I90" s="12" t="str">
        <x:v>le tout tel qu’il appert de cette lettre, pièce P-[lettre du 27 avril 2015].</x:v>
      </x:c>
    </x:row>
    <x:row r="91">
      <x:c r="A91" s="12" t="n">
        <x:v>466</x:v>
      </x:c>
      <x:c r="B91" s="12" t="str">
        <x:v>189</x:v>
      </x:c>
      <x:c r="C91" s="12" t="str">
        <x:v>Les représentations relatives à la prétendue entente sur la garde des enfants</x:v>
      </x:c>
      <x:c r="D91" s="12" t="str">
        <x:v>P-[preuve du départ du 23 février 2015]</x:v>
      </x:c>
      <x:c r="E91" s="12" t="n">
        <x:v>1</x:v>
      </x:c>
      <x:c r="F91" s="12" t="str">
        <x:v>proposed_strong</x:v>
      </x:c>
      <x:c r="G91" s="12" t="str">
        <x:v>P-9</x:v>
      </x:c>
      <x:c r="H91" s="12" t="str">
        <x:v>piece_pdf-3_explicit_depart_date</x:v>
      </x:c>
      <x:c r="I91" s="12" t="str">
        <x:v>189. Le demandeur a quitté la résidence familiale le ou vers le 23 février 2015, soit dix jours après la date à laquelle la défenderesse Me Marie-Josée Ayoub a ultérieurement situé le prétendu consentement à la garde exclusive, tel qu’il appert notamment de la pièce P-[preuve du départ du 23 février 2015].</x:v>
      </x:c>
    </x:row>
    <x:row r="92">
      <x:c r="A92" s="12" t="n">
        <x:v>474</x:v>
      </x:c>
      <x:c r="B92" s="12" t="str">
        <x:v>192</x:v>
      </x:c>
      <x:c r="C92" s="12" t="str">
        <x:v>Les représentations relatives à la prétendue entente sur la garde des enfants</x:v>
      </x:c>
      <x:c r="D92" s="12" t="str">
        <x:v>P-[ébauche du 4 mars 2015]</x:v>
      </x:c>
      <x:c r="E92" s="12" t="n">
        <x:v>1</x:v>
      </x:c>
      <x:c r="F92" s="12" t="str">
        <x:v>proposed_strong</x:v>
      </x:c>
      <x:c r="G92" s="12" t="str">
        <x:v>P-7</x:v>
      </x:c>
      <x:c r="H92" s="12" t="str">
        <x:v>piece_pdf-2_body_date</x:v>
      </x:c>
      <x:c r="I92" s="12" t="str">
        <x:v>192. Le 4 mars 2015, le procureur du demandeur a préparé une proposition prévoyant une garde partagée suivant un horaire de type 2-2-3, tel qu’il appert de l’ébauche de correspondance produite comme pièce P-[ébauche du 4 mars 2015].</x:v>
      </x:c>
    </x:row>
    <x:row r="93">
      <x:c r="A93" s="12" t="n">
        <x:v>476</x:v>
      </x:c>
      <x:c r="B93" s="12" t="str">
        <x:v>193</x:v>
      </x:c>
      <x:c r="C93" s="12" t="str">
        <x:v>Les représentations relatives à la prétendue entente sur la garde des enfants</x:v>
      </x:c>
      <x:c r="D93" s="12" t="str">
        <x:v>P-[messages textes du 7 avril 2015]</x:v>
      </x:c>
      <x:c r="E93" s="12" t="n">
        <x:v>1</x:v>
      </x:c>
      <x:c r="F93" s="12" t="str">
        <x:v>proposed_strong</x:v>
      </x:c>
      <x:c r="G93" s="12" t="str">
        <x:v>P-8</x:v>
      </x:c>
      <x:c r="H93" s="12" t="str">
        <x:v>description_explicit</x:v>
      </x:c>
      <x:c r="I93" s="12" t="str">
        <x:v>193. Le 7 avril 2015, le demandeur a écrit à la défenderesse Élise Ayoub qu’il lui transmettrait une lettre afin « d’officialiser [sa] position par rapport à la garde », tel qu’il appert des messages textes produits comme pièce P-[messages textes du 7 avril 2015].</x:v>
      </x:c>
    </x:row>
    <x:row r="94">
      <x:c r="A94" s="12" t="n">
        <x:v>484</x:v>
      </x:c>
      <x:c r="B94" s="12" t="str">
        <x:v>197</x:v>
      </x:c>
      <x:c r="C94" s="12" t="str">
        <x:v>Les représentations relatives à la prétendue entente sur la garde des enfants</x:v>
      </x:c>
      <x:c r="D94" s="12" t="str">
        <x:v>P-[lettre du 20 avril 2015]</x:v>
      </x:c>
      <x:c r="E94" s="12" t="n">
        <x:v>1</x:v>
      </x:c>
      <x:c r="F94" s="12" t="str">
        <x:v>proposed_strong</x:v>
      </x:c>
      <x:c r="G94" s="12" t="str">
        <x:v>P-7</x:v>
      </x:c>
      <x:c r="H94" s="12" t="str">
        <x:v>piece_pdf-2_transmission_date</x:v>
      </x:c>
      <x:c r="I94" s="12" t="str">
        <x:v>197. Cette lettre formulait une proposition de garde partagée suivant un horaire de type 2-2-3, le tout tel qu’il appert de la lettre du 20 avril 2015, pièce P-[lettre du 20 avril 2015].</x:v>
      </x:c>
    </x:row>
    <x:row r="95">
      <x:c r="A95" s="12" t="n">
        <x:v>492</x:v>
      </x:c>
      <x:c r="B95" s="12" t="str">
        <x:v>199</x:v>
      </x:c>
      <x:c r="C95" s="12" t="str">
        <x:v>Les représentations relatives à la prétendue entente sur la garde des enfants</x:v>
      </x:c>
      <x:c r="D95" s="12" t="str">
        <x:v>P-[courriel et messages]</x:v>
      </x:c>
      <x:c r="E95" s="12" t="n">
        <x:v>1</x:v>
      </x:c>
      <x:c r="F95" s="12" t="str">
        <x:v>proposed_strong</x:v>
      </x:c>
      <x:c r="G95" s="12" t="str">
        <x:v>P-8</x:v>
      </x:c>
      <x:c r="H95" s="12" t="str">
        <x:v>description_explicit</x:v>
      </x:c>
      <x:c r="I95" s="12" t="str">
        <x:v>le tout tel qu’il appert du courriel de transfert et des messages qui l’accompagnaient, produits en liasse comme pièce P-[courriel et messages].</x:v>
      </x:c>
    </x:row>
    <x:row r="96">
      <x:c r="A96" s="12" t="n">
        <x:v>498</x:v>
      </x:c>
      <x:c r="B96" s="12" t="str">
        <x:v>202</x:v>
      </x:c>
      <x:c r="C96" s="12" t="str">
        <x:v>Les représentations relatives à la prétendue entente sur la garde des enfants</x:v>
      </x:c>
      <x:c r="D96" s="12" t="str">
        <x:v>P-[lettre du 27 avril 2015]</x:v>
      </x:c>
      <x:c r="E96" s="12" t="n">
        <x:v>1</x:v>
      </x:c>
      <x:c r="F96" s="12" t="str">
        <x:v>proposed_strong</x:v>
      </x:c>
      <x:c r="G96" s="12" t="str">
        <x:v>P-9</x:v>
      </x:c>
      <x:c r="H96" s="12" t="str">
        <x:v>description_explicit</x:v>
      </x:c>
      <x:c r="I96" s="12" t="str">
        <x:v>202. Le 27 avril 2015, la défenderesse Me Marie-Josée Ayoub a accusé réception de la « missive datée du 20 avril » proposant la garde partagée et lui a opposé « une entente déjà intervenue entre les parties », tel qu’il appert de sa lettre du 27 avril 2015, pièce P-[lettre du 27 avril 2015].</x:v>
      </x:c>
    </x:row>
    <x:row r="97">
      <x:c r="A97" s="12" t="n">
        <x:v>518</x:v>
      </x:c>
      <x:c r="B97" s="12" t="str">
        <x:v>206</x:v>
      </x:c>
      <x:c r="C97" s="12" t="str">
        <x:v>Les représentations relatives à la prétendue entente sur la garde des enfants</x:v>
      </x:c>
      <x:c r="D97" s="12" t="str">
        <x:v>P-[échange du 16 septembre 2016]</x:v>
      </x:c>
      <x:c r="E97" s="12" t="n">
        <x:v>1</x:v>
      </x:c>
      <x:c r="F97" s="12" t="str">
        <x:v>proposed_strong</x:v>
      </x:c>
      <x:c r="G97" s="12" t="str">
        <x:v>P-22</x:v>
      </x:c>
      <x:c r="H97" s="12" t="str">
        <x:v>description_explicit</x:v>
      </x:c>
      <x:c r="I97" s="12" t="str">
        <x:v>le tout tel qu’il appert de l’échange du 16 septembre 2016, pièce P-[échange du 16 septembre 2016].</x:v>
      </x:c>
    </x:row>
    <x:row r="98">
      <x:c r="A98" s="12" t="n">
        <x:v>541</x:v>
      </x:c>
      <x:c r="B98" s="12" t="str">
        <x:v>214</x:v>
      </x:c>
      <x:c r="C98" s="12" t="str">
        <x:v>Les allégations relatives au cadre initial d’exercice des accès</x:v>
      </x:c>
      <x:c r="D98" s="12" t="str">
        <x:v>P-[●]</x:v>
      </x:c>
      <x:c r="E98" s="12" t="n">
        <x:v>1</x:v>
      </x:c>
      <x:c r="F98" s="12" t="str">
        <x:v>context_required</x:v>
      </x:c>
      <x:c r="G98" s="12" t="str"/>
      <x:c r="H98" s="12" t="str">
        <x:v>generic_or_section_local_placeholder</x:v>
      </x:c>
      <x:c r="I98" s="12" t="str">
        <x:v>214. Le 19 novembre 2015, dans le dossier de la Cour supérieure portant le numéro 505-04-024603-151, la défenderesse, alors demanderesse, a produit une requête appuyée de son serment, laquelle est produite au soutien des présentes comme pièce P-[●].</x:v>
      </x:c>
    </x:row>
    <x:row r="99">
      <x:c r="A99" s="12" t="n">
        <x:v>555</x:v>
      </x:c>
      <x:c r="B99" s="12" t="str">
        <x:v>219</x:v>
      </x:c>
      <x:c r="C99" s="12" t="str">
        <x:v>Les allégations relatives au cadre initial d’exercice des accès</x:v>
      </x:c>
      <x:c r="D99" s="12" t="str">
        <x:v>P-[●]</x:v>
      </x:c>
      <x:c r="E99" s="12" t="n">
        <x:v>1</x:v>
      </x:c>
      <x:c r="F99" s="12" t="str">
        <x:v>context_required</x:v>
      </x:c>
      <x:c r="G99" s="12" t="str"/>
      <x:c r="H99" s="12" t="str">
        <x:v>generic_or_section_local_placeholder</x:v>
      </x:c>
      <x:c r="I99" s="12" t="str">
        <x:v>219. En effet, tel qu’il appert des faits et des pièces déjà exposés aux paragraphes 138 à 148 des présentes, le demandeur avait transmis, le 20 avril 2015, une proposition formelle de garde partagée suivant un horaire de type 2-2-3, pièce P-[●].</x:v>
      </x:c>
    </x:row>
    <x:row r="100">
      <x:c r="A100" s="12" t="n">
        <x:v>557</x:v>
      </x:c>
      <x:c r="B100" s="12" t="str">
        <x:v>220</x:v>
      </x:c>
      <x:c r="C100" s="12" t="str">
        <x:v>Les allégations relatives au cadre initial d’exercice des accès</x:v>
      </x:c>
      <x:c r="D100" s="12" t="str">
        <x:v>P-[●]</x:v>
      </x:c>
      <x:c r="E100" s="12" t="n">
        <x:v>1</x:v>
      </x:c>
      <x:c r="F100" s="12" t="str">
        <x:v>context_required</x:v>
      </x:c>
      <x:c r="G100" s="12" t="str"/>
      <x:c r="H100" s="12" t="str">
        <x:v>generic_or_section_local_placeholder</x:v>
      </x:c>
      <x:c r="I100" s="12" t="str">
        <x:v>220. Le 27 avril 2015, cette proposition avait été refusée au nom de la défenderesse, notamment au motif qu’il n’était pas dans l’intérêt des enfants de modifier une routine qui aurait été établie depuis un peu plus de deux mois, pièce P-[●].</x:v>
      </x:c>
    </x:row>
    <x:row r="101">
      <x:c r="A101" s="12" t="n">
        <x:v>561</x:v>
      </x:c>
      <x:c r="B101" s="12" t="str">
        <x:v>222</x:v>
      </x:c>
      <x:c r="C101" s="12" t="str">
        <x:v>Les allégations relatives au cadre initial d’exercice des accès</x:v>
      </x:c>
      <x:c r="D101" s="12" t="str">
        <x:v>P-[●]</x:v>
      </x:c>
      <x:c r="E101" s="12" t="n">
        <x:v>1</x:v>
      </x:c>
      <x:c r="F101" s="12" t="str">
        <x:v>context_required</x:v>
      </x:c>
      <x:c r="G101" s="12" t="str"/>
      <x:c r="H101" s="12" t="str">
        <x:v>generic_or_section_local_placeholder</x:v>
      </x:c>
      <x:c r="I101" s="12" t="str">
        <x:v>222. Le 13 août 2015, la procureure de la défenderesse avait également transmis un projet de consentement prévoyant un élargissement progressif des accès du demandeur et, dès la première phase, deux nuitées consécutives du dimanche à 16 h jusqu’au mardi matin, pièce P-[●].</x:v>
      </x:c>
    </x:row>
    <x:row r="102">
      <x:c r="A102" s="12" t="n">
        <x:v>563</x:v>
      </x:c>
      <x:c r="B102" s="12" t="str">
        <x:v>223</x:v>
      </x:c>
      <x:c r="C102" s="12" t="str">
        <x:v>Les allégations relatives au cadre initial d’exercice des accès</x:v>
      </x:c>
      <x:c r="D102" s="12" t="str">
        <x:v>P-[●]</x:v>
      </x:c>
      <x:c r="E102" s="12" t="n">
        <x:v>1</x:v>
      </x:c>
      <x:c r="F102" s="12" t="str">
        <x:v>context_required</x:v>
      </x:c>
      <x:c r="G102" s="12" t="str"/>
      <x:c r="H102" s="12" t="str">
        <x:v>generic_or_section_local_placeholder</x:v>
      </x:c>
      <x:c r="I102" s="12" t="str">
        <x:v>223. Le 2 septembre 2015, le demandeur avait répondu qu’il était disposé à établir cette progression et avait proposé qu’elle conduise à un horaire de garde de type 2-2-3 à compter du 7 février 2016, pièce P-[●].</x:v>
      </x:c>
    </x:row>
    <x:row r="103">
      <x:c r="A103" s="12" t="n">
        <x:v>578</x:v>
      </x:c>
      <x:c r="B103" s="12" t="str">
        <x:v>230</x:v>
      </x:c>
      <x:c r="C103" s="12" t="str">
        <x:v>Les allégations relatives à la médiation et à l’intervention de Claudia Écrement</x:v>
      </x:c>
      <x:c r="D103" s="12" t="str">
        <x:v>P-[●]</x:v>
      </x:c>
      <x:c r="E103" s="12" t="n">
        <x:v>1</x:v>
      </x:c>
      <x:c r="F103" s="12" t="str">
        <x:v>context_required</x:v>
      </x:c>
      <x:c r="G103" s="12" t="str"/>
      <x:c r="H103" s="12" t="str">
        <x:v>generic_or_section_local_placeholder</x:v>
      </x:c>
      <x:c r="I103" s="12" t="str">
        <x:v>230. Le 19 novembre 2015, dans le dossier de la Cour supérieure portant le numéro 505-04-024603-151, la défenderesse, alors demanderesse, a produit une requête appuyée de son serment, laquelle est produite au soutien des présentes comme pièce P-[●].</x:v>
      </x:c>
    </x:row>
    <x:row r="104">
      <x:c r="A104" s="12" t="n">
        <x:v>586</x:v>
      </x:c>
      <x:c r="B104" s="12" t="str">
        <x:v>232</x:v>
      </x:c>
      <x:c r="C104" s="12" t="str">
        <x:v>Les allégations relatives à la médiation et à l’intervention de Claudia Écrement</x:v>
      </x:c>
      <x:c r="D104" s="12" t="str">
        <x:v>P-[●]</x:v>
      </x:c>
      <x:c r="E104" s="12" t="n">
        <x:v>1</x:v>
      </x:c>
      <x:c r="F104" s="12" t="str">
        <x:v>context_required</x:v>
      </x:c>
      <x:c r="G104" s="12" t="str"/>
      <x:c r="H104" s="12" t="str">
        <x:v>generic_or_section_local_placeholder</x:v>
      </x:c>
      <x:c r="I104" s="12" t="str">
        <x:v>232. Le 16 septembre 2015, après avoir rencontré seule la défenderesse, Claudia Écrement a écrit au demandeur pour lui proposer une rencontre individuelle destinée à le guider et à répondre à ses questions concernant la garde des enfants, tel qu’il appert de la chaîne de courriels produite comme pièce P-[●].</x:v>
      </x:c>
    </x:row>
    <x:row r="105">
      <x:c r="A105" s="12" t="n">
        <x:v>592</x:v>
      </x:c>
      <x:c r="B105" s="12" t="str">
        <x:v>234</x:v>
      </x:c>
      <x:c r="C105" s="12" t="str">
        <x:v>Les allégations relatives à la médiation et à l’intervention de Claudia Écrement</x:v>
      </x:c>
      <x:c r="D105" s="12" t="str">
        <x:v>P-[●]</x:v>
      </x:c>
      <x:c r="E105" s="12" t="n">
        <x:v>1</x:v>
      </x:c>
      <x:c r="F105" s="12" t="str">
        <x:v>context_required</x:v>
      </x:c>
      <x:c r="G105" s="12" t="str"/>
      <x:c r="H105" s="12" t="str">
        <x:v>generic_or_section_local_placeholder</x:v>
      </x:c>
      <x:c r="I105" s="12" t="str">
        <x:v>234. Le demandeur a accepté cette proposition le jour même en répondant notamment : « Je veux vous rencontrer », puis s’est informé de son tarif et a convenu d’un rendez-vous devant avoir lieu le 19 octobre 2015, tel qu’il appert de la pièce P-[●].</x:v>
      </x:c>
    </x:row>
    <x:row r="106">
      <x:c r="A106" s="12" t="n">
        <x:v>596</x:v>
      </x:c>
      <x:c r="B106" s="12" t="str">
        <x:v>236</x:v>
      </x:c>
      <x:c r="C106" s="12" t="str">
        <x:v>Les allégations relatives à la médiation et à l’intervention de Claudia Écrement</x:v>
      </x:c>
      <x:c r="D106" s="12" t="str">
        <x:v>P-[●]</x:v>
      </x:c>
      <x:c r="E106" s="12" t="n">
        <x:v>1</x:v>
      </x:c>
      <x:c r="F106" s="12" t="str">
        <x:v>context_required</x:v>
      </x:c>
      <x:c r="G106" s="12" t="str"/>
      <x:c r="H106" s="12" t="str">
        <x:v>generic_or_section_local_placeholder</x:v>
      </x:c>
      <x:c r="I106" s="12" t="str">
        <x:v>236. Dans cette même communication, le demandeur a néanmoins confirmé qu’il demeurait favorable aux services de Claudia Écrement dans la mesure où ceux-ci étaient bénéfiques pour les enfants, tel qu’il appert de la pièce P-[●].</x:v>
      </x:c>
    </x:row>
    <x:row r="107">
      <x:c r="A107" s="12" t="n">
        <x:v>598</x:v>
      </x:c>
      <x:c r="B107" s="12" t="str">
        <x:v>237</x:v>
      </x:c>
      <x:c r="C107" s="12" t="str">
        <x:v>Les allégations relatives à la médiation et à l’intervention de Claudia Écrement</x:v>
      </x:c>
      <x:c r="D107" s="12" t="str">
        <x:v>P-[●]</x:v>
      </x:c>
      <x:c r="E107" s="12" t="n">
        <x:v>1</x:v>
      </x:c>
      <x:c r="F107" s="12" t="str">
        <x:v>context_required</x:v>
      </x:c>
      <x:c r="G107" s="12" t="str"/>
      <x:c r="H107" s="12" t="str">
        <x:v>generic_or_section_local_placeholder</x:v>
      </x:c>
      <x:c r="I107" s="12" t="str">
        <x:v>237. Le même jour, Claudia Écrement a informé la défenderesse qu’elle ne rencontrerait pas le demandeur concernant la garde, à la demande de celui-ci, mais que ce dernier lui permettait de continuer à voir les enfants si cela s’avérait nécessaire, tel qu’il appert de la communication produite comme pièce P-[●].</x:v>
      </x:c>
    </x:row>
    <x:row r="108">
      <x:c r="A108" s="12" t="n">
        <x:v>636</x:v>
      </x:c>
      <x:c r="B108" s="12" t="str">
        <x:v>247</x:v>
      </x:c>
      <x:c r="C108" s="12" t="str">
        <x:v>Les allégations relatives à l’exercice de l’autorité parentale</x:v>
      </x:c>
      <x:c r="D108" s="12" t="str">
        <x:v>P-[●]</x:v>
      </x:c>
      <x:c r="E108" s="12" t="n">
        <x:v>1</x:v>
      </x:c>
      <x:c r="F108" s="12" t="str">
        <x:v>context_required</x:v>
      </x:c>
      <x:c r="G108" s="12" t="str"/>
      <x:c r="H108" s="12" t="str">
        <x:v>generic_or_section_local_placeholder</x:v>
      </x:c>
      <x:c r="I108" s="12" t="str">
        <x:v>247. Le 19 novembre 2015, dans le dossier de la Cour supérieure portant le numéro 505-04-024603-151, la défenderesse, alors demanderesse, a produit une requête appuyée de son serment, laquelle est produite au soutien des présentes comme pièce P-[●].</x:v>
      </x:c>
    </x:row>
    <x:row r="109">
      <x:c r="A109" s="12" t="n">
        <x:v>646</x:v>
      </x:c>
      <x:c r="B109" s="12" t="str">
        <x:v>250</x:v>
      </x:c>
      <x:c r="C109" s="12" t="str">
        <x:v>Les allégations relatives à l’exercice de l’autorité parentale</x:v>
      </x:c>
      <x:c r="D109" s="12" t="str">
        <x:v>P-[●]</x:v>
      </x:c>
      <x:c r="E109" s="12" t="n">
        <x:v>1</x:v>
      </x:c>
      <x:c r="F109" s="12" t="str">
        <x:v>context_required</x:v>
      </x:c>
      <x:c r="G109" s="12" t="str"/>
      <x:c r="H109" s="12" t="str">
        <x:v>generic_or_section_local_placeholder</x:v>
      </x:c>
      <x:c r="I109" s="12" t="str">
        <x:v>250. Le 19 juillet 2015, Nicolas a été baptisé sans que le demandeur ait préalablement été informé de la tenue du baptême ni invité à y assister, tel qu’il appert du courriel contemporain produit comme pièce P-[●].</x:v>
      </x:c>
    </x:row>
    <x:row r="110">
      <x:c r="A110" s="12" t="n">
        <x:v>650</x:v>
      </x:c>
      <x:c r="B110" s="12" t="str">
        <x:v>252</x:v>
      </x:c>
      <x:c r="C110" s="12" t="str">
        <x:v>Les allégations relatives à l’exercice de l’autorité parentale</x:v>
      </x:c>
      <x:c r="D110" s="12" t="str">
        <x:v>P-[●]</x:v>
      </x:c>
      <x:c r="E110" s="12" t="n">
        <x:v>1</x:v>
      </x:c>
      <x:c r="F110" s="12" t="str">
        <x:v>context_required</x:v>
      </x:c>
      <x:c r="G110" s="12" t="str"/>
      <x:c r="H110" s="12" t="str">
        <x:v>generic_or_section_local_placeholder</x:v>
      </x:c>
      <x:c r="I110" s="12" t="str">
        <x:v>252. Le 1er août 2015, le demandeur a demandé à la défenderesse de vérifier la possibilité qu’elle assume seule certains attributs de l’autorité parentale et a indiqué ne plus vouloir signer de documents ni être consulté relativement notamment aux voyages, à l’école, aux traitements et aux consultations psychologiques, tel qu’il appert des messages produits comme pièce P-[●].</x:v>
      </x:c>
    </x:row>
    <x:row r="111">
      <x:c r="A111" s="12" t="n">
        <x:v>654</x:v>
      </x:c>
      <x:c r="B111" s="12" t="str">
        <x:v>254</x:v>
      </x:c>
      <x:c r="C111" s="12" t="str">
        <x:v>Les allégations relatives à l’exercice de l’autorité parentale</x:v>
      </x:c>
      <x:c r="D111" s="12" t="str">
        <x:v>P-[●]</x:v>
      </x:c>
      <x:c r="E111" s="12" t="n">
        <x:v>1</x:v>
      </x:c>
      <x:c r="F111" s="12" t="str">
        <x:v>context_required</x:v>
      </x:c>
      <x:c r="G111" s="12" t="str"/>
      <x:c r="H111" s="12" t="str">
        <x:v>generic_or_section_local_placeholder</x:v>
      </x:c>
      <x:c r="I111" s="12" t="str">
        <x:v>254. Le 13 août 2015, un projet de consentement préparé par Me Marie-Josée Ayoub prévoyait, à son article 2, que les parties continueraient d’exercer conjointement l’autorité parentale et proposait, à son article 3, que la défenderesse prenne seule les décisions concernant les enfants, tel qu’il appert du projet produit comme pièce P-[●].</x:v>
      </x:c>
    </x:row>
    <x:row r="112">
      <x:c r="A112" s="12" t="n">
        <x:v>660</x:v>
      </x:c>
      <x:c r="B112" s="12" t="str">
        <x:v>257</x:v>
      </x:c>
      <x:c r="C112" s="12" t="str">
        <x:v>Les allégations relatives à l’exercice de l’autorité parentale</x:v>
      </x:c>
      <x:c r="D112" s="12" t="str">
        <x:v>P-[●]</x:v>
      </x:c>
      <x:c r="E112" s="12" t="n">
        <x:v>1</x:v>
      </x:c>
      <x:c r="F112" s="12" t="str">
        <x:v>context_required</x:v>
      </x:c>
      <x:c r="G112" s="12" t="str"/>
      <x:c r="H112" s="12" t="str">
        <x:v>generic_or_section_local_placeholder</x:v>
      </x:c>
      <x:c r="I112" s="12" t="str">
        <x:v>257. Le 2 septembre 2015, par l’entremise de son procureur, le demandeur a formellement exigé le retrait de l’article 3 du projet, au motif qu’il ne consentait pas à ce que la défenderesse prenne toutes les décisions concernant les enfants, tel qu’il appert de la lettre produite comme pièce P-[●].</x:v>
      </x:c>
    </x:row>
    <x:row r="113">
      <x:c r="A113" s="12" t="n">
        <x:v>679</x:v>
      </x:c>
      <x:c r="B113" s="12" t="str">
        <x:v>266</x:v>
      </x:c>
      <x:c r="C113" s="12" t="str">
        <x:v>Les allégations relatives à l’utilisation des assurances collectives des enfants</x:v>
      </x:c>
      <x:c r="D113" s="12" t="str">
        <x:v>P-[●]</x:v>
      </x:c>
      <x:c r="E113" s="12" t="n">
        <x:v>1</x:v>
      </x:c>
      <x:c r="F113" s="12" t="str">
        <x:v>context_required</x:v>
      </x:c>
      <x:c r="G113" s="12" t="str"/>
      <x:c r="H113" s="12" t="str">
        <x:v>generic_or_section_local_placeholder</x:v>
      </x:c>
      <x:c r="I113" s="12" t="str">
        <x:v>266. Le 19 novembre 2015, dans le dossier de la Cour supérieure portant le numéro 505-04-024603-151, la défenderesse, alors demanderesse, a produit une requête appuyée de son serment, laquelle est produite au soutien des présentes comme pièce P-[●].</x:v>
      </x:c>
    </x:row>
    <x:row r="114">
      <x:c r="A114" s="12" t="n">
        <x:v>693</x:v>
      </x:c>
      <x:c r="B114" s="12" t="str">
        <x:v>271</x:v>
      </x:c>
      <x:c r="C114" s="12" t="str">
        <x:v>Les allégations relatives à l’utilisation des assurances collectives des enfants</x:v>
      </x:c>
      <x:c r="D114" s="12" t="str">
        <x:v>P-[●]</x:v>
      </x:c>
      <x:c r="E114" s="12" t="n">
        <x:v>1</x:v>
      </x:c>
      <x:c r="F114" s="12" t="str">
        <x:v>context_required</x:v>
      </x:c>
      <x:c r="G114" s="12" t="str"/>
      <x:c r="H114" s="12" t="str">
        <x:v>generic_or_section_local_placeholder</x:v>
      </x:c>
      <x:c r="I114" s="12" t="str">
        <x:v>271. Les relevés de l’assureur pour les années 2015 et 2016, produits comme pièces P-[●] et P-[●], font état de seize transactions inscrites au nom des enfants entre le 25 février 2015 et le 16 mai 2016.</x:v>
      </x:c>
    </x:row>
    <x:row r="115">
      <x:c r="A115" s="12" t="n">
        <x:v>693</x:v>
      </x:c>
      <x:c r="B115" s="12" t="str">
        <x:v>271</x:v>
      </x:c>
      <x:c r="C115" s="12" t="str">
        <x:v>Les allégations relatives à l’utilisation des assurances collectives des enfants</x:v>
      </x:c>
      <x:c r="D115" s="12" t="str">
        <x:v>P-[●]</x:v>
      </x:c>
      <x:c r="E115" s="12" t="n">
        <x:v>2</x:v>
      </x:c>
      <x:c r="F115" s="12" t="str">
        <x:v>context_required</x:v>
      </x:c>
      <x:c r="G115" s="12" t="str"/>
      <x:c r="H115" s="12" t="str">
        <x:v>generic_or_section_local_placeholder</x:v>
      </x:c>
      <x:c r="I115" s="12" t="str">
        <x:v>271. Les relevés de l’assureur pour les années 2015 et 2016, produits comme pièces P-[●] et P-[●], font état de seize transactions inscrites au nom des enfants entre le 25 février 2015 et le 16 mai 2016.</x:v>
      </x:c>
    </x:row>
    <x:row r="116">
      <x:c r="A116" s="12" t="n">
        <x:v>709</x:v>
      </x:c>
      <x:c r="B116" s="12" t="str">
        <x:v>279</x:v>
      </x:c>
      <x:c r="C116" s="12" t="str">
        <x:v>Les allégations relatives à l’utilisation des assurances collectives des enfants</x:v>
      </x:c>
      <x:c r="D116" s="12" t="str">
        <x:v>P-[●]</x:v>
      </x:c>
      <x:c r="E116" s="12" t="n">
        <x:v>1</x:v>
      </x:c>
      <x:c r="F116" s="12" t="str">
        <x:v>context_required</x:v>
      </x:c>
      <x:c r="G116" s="12" t="str"/>
      <x:c r="H116" s="12" t="str">
        <x:v>generic_or_section_local_placeholder</x:v>
      </x:c>
      <x:c r="I116" s="12" t="str">
        <x:v>279. Les réclamations présentées au bénéfice des enfants étaient traitées suivant leur admissibilité, la nature de la dépense et les conditions du régime, sans que le demandeur soit appelé à autoriser individuellement chacune des transactions, tel qu’il appert de la documentation du régime produite comme pièce P-[●].</x:v>
      </x:c>
    </x:row>
    <x:row r="117">
      <x:c r="A117" s="12" t="n">
        <x:v>759</x:v>
      </x:c>
      <x:c r="B117" s="12" t="str">
        <x:v>293</x:v>
      </x:c>
      <x:c r="C117" s="12" t="str">
        <x:v>La représentation de l’échec des négociations et de la nécessité de la saisine du Tribunal</x:v>
      </x:c>
      <x:c r="D117" s="12" t="str">
        <x:v>P-[DA-2019]</x:v>
      </x:c>
      <x:c r="E117" s="12" t="n">
        <x:v>1</x:v>
      </x:c>
      <x:c r="F117" s="12" t="str">
        <x:v>proposed_strong</x:v>
      </x:c>
      <x:c r="G117" s="12" t="str">
        <x:v>P-42</x:v>
      </x:c>
      <x:c r="H117" s="12" t="str">
        <x:v>document_3_sworn_declaration</x:v>
      </x:c>
      <x:c r="I117" s="12" t="str">
        <x:v>293. Le 21 octobre 2019, la défenderesse Élise Ayoub a signé une déclaration assermentée dans ce dossier, laquelle est produite au soutien des présentes comme pièce P-[DA-2019].</x:v>
      </x:c>
    </x:row>
    <x:row r="118">
      <x:c r="A118" s="12" t="n">
        <x:v>761</x:v>
      </x:c>
      <x:c r="B118" s="12" t="str">
        <x:v>294</x:v>
      </x:c>
      <x:c r="C118" s="12" t="str">
        <x:v>La représentation de l’échec des négociations et de la nécessité de la saisine du Tribunal</x:v>
      </x:c>
      <x:c r="D118" s="12" t="str">
        <x:v>P-[DA-2019]</x:v>
      </x:c>
      <x:c r="E118" s="12" t="n">
        <x:v>1</x:v>
      </x:c>
      <x:c r="F118" s="12" t="str">
        <x:v>proposed_strong</x:v>
      </x:c>
      <x:c r="G118" s="12" t="str">
        <x:v>P-42</x:v>
      </x:c>
      <x:c r="H118" s="12" t="str">
        <x:v>document_3_sworn_declaration</x:v>
      </x:c>
      <x:c r="I118" s="12" t="str">
        <x:v>294. Cette déclaration a été préparée et produite par la défenderesse Me Marie-Josée Ayoub, alors procureure de la défenderesse Élise Ayoub, tel qu’il appert de la pièce P-[DA-2019].</x:v>
      </x:c>
    </x:row>
    <x:row r="119">
      <x:c r="A119" s="12" t="n">
        <x:v>771</x:v>
      </x:c>
      <x:c r="B119" s="12" t="str">
        <x:v>297</x:v>
      </x:c>
      <x:c r="C119" s="12" t="str">
        <x:v>Le départ du demandeur et la garde de fait</x:v>
      </x:c>
      <x:c r="D119" s="12" t="str">
        <x:v>P-[REQUÊTE-2015]</x:v>
      </x:c>
      <x:c r="E119" s="12" t="n">
        <x:v>1</x:v>
      </x:c>
      <x:c r="F119" s="12" t="str">
        <x:v>proposed_strong</x:v>
      </x:c>
      <x:c r="G119" s="12" t="str">
        <x:v>P-19</x:v>
      </x:c>
      <x:c r="H119" s="12" t="str">
        <x:v>description_explicit</x:v>
      </x:c>
      <x:c r="I119" s="12" t="str">
        <x:v>297. Le 23 février 2015, le demandeur a quitté volontairement la résidence familiale pour s’établir dans un appartement situé à proximité, tel qu’il appert notamment de la requête du 19 novembre 2015, pièce P-[REQUÊTE-2015].</x:v>
      </x:c>
    </x:row>
    <x:row r="120">
      <x:c r="A120" s="12" t="n">
        <x:v>781</x:v>
      </x:c>
      <x:c r="B120" s="12" t="str">
        <x:v>301</x:v>
      </x:c>
      <x:c r="C120" s="12" t="str">
        <x:v>La position officielle du demandeur sur la garde</x:v>
      </x:c>
      <x:c r="D120" s="12" t="str">
        <x:v>P-[TEXTOS]</x:v>
      </x:c>
      <x:c r="E120" s="12" t="n">
        <x:v>1</x:v>
      </x:c>
      <x:c r="F120" s="12" t="str">
        <x:v>proposed_strong</x:v>
      </x:c>
      <x:c r="G120" s="12" t="str">
        <x:v>P-8</x:v>
      </x:c>
      <x:c r="H120" s="12" t="str">
        <x:v>description_explicit</x:v>
      </x:c>
      <x:c r="I120" s="12" t="str">
        <x:v>301. Le 7 avril 2015, le demandeur a écrit à la défenderesse Élise Ayoub qu’il lui transmettrait une lettre afin d’« officialiser [sa] position par rapport à la garde », tel qu’il appert des messages produits comme pièce P-[TEXTOS].</x:v>
      </x:c>
    </x:row>
    <x:row r="121">
      <x:c r="A121" s="12" t="n">
        <x:v>787</x:v>
      </x:c>
      <x:c r="B121" s="12" t="str">
        <x:v>304</x:v>
      </x:c>
      <x:c r="C121" s="12" t="str">
        <x:v>La position officielle du demandeur sur la garde</x:v>
      </x:c>
      <x:c r="D121" s="12" t="str">
        <x:v>P-[OFFRE-20-AVRIL]</x:v>
      </x:c>
      <x:c r="E121" s="12" t="n">
        <x:v>1</x:v>
      </x:c>
      <x:c r="F121" s="12" t="str">
        <x:v>proposed_strong</x:v>
      </x:c>
      <x:c r="G121" s="12" t="str">
        <x:v>P-7</x:v>
      </x:c>
      <x:c r="H121" s="12" t="str">
        <x:v>piece_pdf-2_transmission_date</x:v>
      </x:c>
      <x:c r="I121" s="12" t="str">
        <x:v>304. Le 20 avril 2015, le demandeur, par l’entremise de son procureur, a transmis la lettre annoncée dans ses messages du 7 avril 2015, tel qu’il appert de la pièce P-[OFFRE-20-AVRIL].</x:v>
      </x:c>
    </x:row>
    <x:row r="122">
      <x:c r="A122" s="12" t="n">
        <x:v>795</x:v>
      </x:c>
      <x:c r="B122" s="12" t="str">
        <x:v>306</x:v>
      </x:c>
      <x:c r="C122" s="12" t="str">
        <x:v>La position officielle du demandeur sur la garde</x:v>
      </x:c>
      <x:c r="D122" s="12" t="str">
        <x:v>P-[TEXTOS]</x:v>
      </x:c>
      <x:c r="E122" s="12" t="n">
        <x:v>1</x:v>
      </x:c>
      <x:c r="F122" s="12" t="str">
        <x:v>proposed_strong</x:v>
      </x:c>
      <x:c r="G122" s="12" t="str">
        <x:v>P-8</x:v>
      </x:c>
      <x:c r="H122" s="12" t="str">
        <x:v>description_explicit</x:v>
      </x:c>
      <x:c r="I122" s="12" t="str">
        <x:v>le tout tel qu’il appert de la pièce P-[TEXTOS].</x:v>
      </x:c>
    </x:row>
    <x:row r="123">
      <x:c r="A123" s="12" t="n">
        <x:v>803</x:v>
      </x:c>
      <x:c r="B123" s="12" t="str">
        <x:v>309</x:v>
      </x:c>
      <x:c r="C123" s="12" t="str">
        <x:v>La réponse du 27 avril 2015</x:v>
      </x:c>
      <x:c r="D123" s="12" t="str">
        <x:v>P-[LETTRE-27-AVRIL]</x:v>
      </x:c>
      <x:c r="E123" s="12" t="n">
        <x:v>1</x:v>
      </x:c>
      <x:c r="F123" s="12" t="str">
        <x:v>proposed_strong</x:v>
      </x:c>
      <x:c r="G123" s="12" t="str">
        <x:v>P-9</x:v>
      </x:c>
      <x:c r="H123" s="12" t="str">
        <x:v>description_explicit</x:v>
      </x:c>
      <x:c r="I123" s="12" t="str">
        <x:v>309. Le 27 avril 2015, Me Marie-Josée Ayoub a répondu par écrit à l’offre du 20 avril 2015, au nom de la défenderesse Élise Ayoub, tel qu’il appert de la pièce P-[LETTRE-27-AVRIL].</x:v>
      </x:c>
    </x:row>
    <x:row r="124">
      <x:c r="A124" s="12" t="n">
        <x:v>817</x:v>
      </x:c>
      <x:c r="B124" s="12" t="str">
        <x:v>315</x:v>
      </x:c>
      <x:c r="C124" s="12" t="str">
        <x:v>Le projet de progression et la réponse du demandeur</x:v>
      </x:c>
      <x:c r="D124" s="12" t="str">
        <x:v>P-[PROJET-13-AOÛT]</x:v>
      </x:c>
      <x:c r="E124" s="12" t="n">
        <x:v>1</x:v>
      </x:c>
      <x:c r="F124" s="12" t="str">
        <x:v>proposed_strong</x:v>
      </x:c>
      <x:c r="G124" s="12" t="str">
        <x:v>P-16</x:v>
      </x:c>
      <x:c r="H124" s="12" t="str">
        <x:v>description_explicit</x:v>
      </x:c>
      <x:c r="I124" s="12" t="str">
        <x:v>315. Le 13 août 2015, Me Marie-Josée Ayoub a transmis, au nom de la défenderesse Élise Ayoub, un projet de consentement à jugement, pièce P-[PROJET-13-AOÛT].</x:v>
      </x:c>
    </x:row>
    <x:row r="125">
      <x:c r="A125" s="12" t="n">
        <x:v>825</x:v>
      </x:c>
      <x:c r="B125" s="12" t="str">
        <x:v>319</x:v>
      </x:c>
      <x:c r="C125" s="12" t="str">
        <x:v>Le projet de progression et la réponse du demandeur</x:v>
      </x:c>
      <x:c r="D125" s="12" t="str">
        <x:v>P-[RÉPONSE-2-SEPTEMBRE]</x:v>
      </x:c>
      <x:c r="E125" s="12" t="n">
        <x:v>1</x:v>
      </x:c>
      <x:c r="F125" s="12" t="str">
        <x:v>proposed_strong</x:v>
      </x:c>
      <x:c r="G125" s="12" t="str">
        <x:v>P-17</x:v>
      </x:c>
      <x:c r="H125" s="12" t="str">
        <x:v>description_explicit</x:v>
      </x:c>
      <x:c r="I125" s="12" t="str">
        <x:v>319. Le 2 septembre 2015, le demandeur a transmis sa réponse écrite au projet du 13 août, laquelle est produite comme pièce P-[RÉPONSE-2-SEPTEMBRE].</x:v>
      </x:c>
    </x:row>
    <x:row r="126">
      <x:c r="A126" s="12" t="n">
        <x:v>835</x:v>
      </x:c>
      <x:c r="B126" s="12" t="str">
        <x:v>324</x:v>
      </x:c>
      <x:c r="C126" s="12" t="str">
        <x:v>Le projet de progression et la réponse du demandeur</x:v>
      </x:c>
      <x:c r="D126" s="12" t="str">
        <x:v>P-[RÉPONSE-3-SEPTEMBRE]</x:v>
      </x:c>
      <x:c r="E126" s="12" t="n">
        <x:v>1</x:v>
      </x:c>
      <x:c r="F126" s="12" t="str">
        <x:v>proposed_strong</x:v>
      </x:c>
      <x:c r="G126" s="12" t="str">
        <x:v>P-18</x:v>
      </x:c>
      <x:c r="H126" s="12" t="str">
        <x:v>description_explicit</x:v>
      </x:c>
      <x:c r="I126" s="12" t="str">
        <x:v>324. Le 3 septembre 2015, Me Marie-Josée Ayoub a répondu, au nom de la défenderesse Élise Ayoub, que l’établissement d’une garde partagée demeurait prématuré, tel qu’il appert de la pièce P-[RÉPONSE-3-SEPTEMBRE].</x:v>
      </x:c>
    </x:row>
    <x:row r="127">
      <x:c r="A127" s="12" t="n">
        <x:v>843</x:v>
      </x:c>
      <x:c r="B127" s="12" t="str">
        <x:v>327</x:v>
      </x:c>
      <x:c r="C127" s="12" t="str">
        <x:v>La requête du 19 novembre 2015</x:v>
      </x:c>
      <x:c r="D127" s="12" t="str">
        <x:v>P-[REQUÊTE-2015]</x:v>
      </x:c>
      <x:c r="E127" s="12" t="n">
        <x:v>1</x:v>
      </x:c>
      <x:c r="F127" s="12" t="str">
        <x:v>proposed_strong</x:v>
      </x:c>
      <x:c r="G127" s="12" t="str">
        <x:v>P-19</x:v>
      </x:c>
      <x:c r="H127" s="12" t="str">
        <x:v>description_explicit</x:v>
      </x:c>
      <x:c r="I127" s="12" t="str">
        <x:v>327. Le 19 novembre 2015, la défenderesse Élise Ayoub a produit une requête introductive dans le dossier 505-04-024603-151, laquelle était rédigée par Me Adelia Ferreira et appuyée du serment de la défenderesse Élise Ayoub, pièce P-[REQUÊTE-2015].</x:v>
      </x:c>
    </x:row>
    <x:row r="128">
      <x:c r="A128" s="12" t="n">
        <x:v>861</x:v>
      </x:c>
      <x:c r="B128" s="12" t="str">
        <x:v>335</x:v>
      </x:c>
      <x:c r="C128" s="12" t="str">
        <x:v>Le jugement et la déclaration de 2019</x:v>
      </x:c>
      <x:c r="D128" s="12" t="str">
        <x:v>P-[JUGEMENT-2016]</x:v>
      </x:c>
      <x:c r="E128" s="12" t="n">
        <x:v>1</x:v>
      </x:c>
      <x:c r="F128" s="12" t="str">
        <x:v>proposed_strong</x:v>
      </x:c>
      <x:c r="G128" s="12" t="str">
        <x:v>P-21</x:v>
      </x:c>
      <x:c r="H128" s="12" t="str">
        <x:v>description_explicit</x:v>
      </x:c>
      <x:c r="I128" s="12" t="str">
        <x:v>335. Le 14 janvier 2016, le demandeur étant absent, la Cour supérieure a rendu jugement par défaut, confié la garde des enfants à la défenderesse Élise Ayoub et fixé les accès du demandeur au dimanche de 16 h à 20 h, pièce P-[JUGEMENT-2016].</x:v>
      </x:c>
    </x:row>
    <x:row r="129">
      <x:c r="A129" s="12" t="n">
        <x:v>892</x:v>
      </x:c>
      <x:c r="B129" s="12" t="str">
        <x:v>348</x:v>
      </x:c>
      <x:c r="C129" s="12" t="str">
        <x:v>Le contexte antérieur à la rupture et à la négociation de 2015</x:v>
      </x:c>
      <x:c r="D129" s="12" t="str">
        <x:v>P-[P-1]</x:v>
      </x:c>
      <x:c r="E129" s="12" t="n">
        <x:v>1</x:v>
      </x:c>
      <x:c r="F129" s="12" t="str">
        <x:v>proposed_strong</x:v>
      </x:c>
      <x:c r="G129" s="12" t="str">
        <x:v>P-2</x:v>
      </x:c>
      <x:c r="H129" s="12" t="str">
        <x:v>historic_alias_to_new_cote</x:v>
      </x:c>
      <x:c r="I129" s="12" t="str">
        <x:v>lequel est produit comme pièce P-[P-1].</x:v>
      </x:c>
    </x:row>
    <x:row r="130">
      <x:c r="A130" s="12" t="n">
        <x:v>917</x:v>
      </x:c>
      <x:c r="B130" s="12" t="str">
        <x:v>358</x:v>
      </x:c>
      <x:c r="C130" s="12" t="str">
        <x:v>Les allégations relatives aux prétendues demandes répétées de remboursement de frais médicaux</x:v>
      </x:c>
      <x:c r="D130" s="12" t="str">
        <x:v>P-[●]</x:v>
      </x:c>
      <x:c r="E130" s="12" t="n">
        <x:v>1</x:v>
      </x:c>
      <x:c r="F130" s="12" t="str">
        <x:v>context_required</x:v>
      </x:c>
      <x:c r="G130" s="12" t="str"/>
      <x:c r="H130" s="12" t="str">
        <x:v>generic_or_section_local_placeholder</x:v>
      </x:c>
      <x:c r="I130" s="12" t="str">
        <x:v>358. Le 14 janvier 2016, un jugement a été rendu dans le dossier de la Cour supérieure portant le numéro 505-04-024603-151, lequel est produit au soutien des présentes comme pièce P-[●].</x:v>
      </x:c>
    </x:row>
    <x:row r="131">
      <x:c r="A131" s="12" t="n">
        <x:v>923</x:v>
      </x:c>
      <x:c r="B131" s="12" t="str">
        <x:v>361</x:v>
      </x:c>
      <x:c r="C131" s="12" t="str">
        <x:v>Les allégations relatives aux prétendues demandes répétées de remboursement de frais médicaux</x:v>
      </x:c>
      <x:c r="D131" s="12" t="str">
        <x:v>P-[●]</x:v>
      </x:c>
      <x:c r="E131" s="12" t="n">
        <x:v>1</x:v>
      </x:c>
      <x:c r="F131" s="12" t="str">
        <x:v>context_required</x:v>
      </x:c>
      <x:c r="G131" s="12" t="str"/>
      <x:c r="H131" s="12" t="str">
        <x:v>generic_or_section_local_placeholder</x:v>
      </x:c>
      <x:c r="I131" s="12" t="str">
        <x:v>361. Le 26 septembre 2016, la défenderesse Élise Ayoub a demandé au demandeur de cesser de communiquer directement avec elle, tel qu’il appert du courriel produit comme pièce P-[●].</x:v>
      </x:c>
    </x:row>
    <x:row r="132">
      <x:c r="A132" s="12" t="n">
        <x:v>929</x:v>
      </x:c>
      <x:c r="B132" s="12" t="str">
        <x:v>364</x:v>
      </x:c>
      <x:c r="C132" s="12" t="str">
        <x:v>Les allégations relatives aux prétendues demandes répétées de remboursement de frais médicaux</x:v>
      </x:c>
      <x:c r="D132" s="12" t="str">
        <x:v>P-[●]</x:v>
      </x:c>
      <x:c r="E132" s="12" t="n">
        <x:v>1</x:v>
      </x:c>
      <x:c r="F132" s="12" t="str">
        <x:v>context_required</x:v>
      </x:c>
      <x:c r="G132" s="12" t="str"/>
      <x:c r="H132" s="12" t="str">
        <x:v>generic_or_section_local_placeholder</x:v>
      </x:c>
      <x:c r="I132" s="12" t="str">
        <x:v>364. Le 21 octobre 2019, Élise Ayoub a signé sous serment une déclaration préparée par sa procureure, la défenderesse Me Marie-Josée Ayoub, laquelle est produite comme pièce P-[●].</x:v>
      </x:c>
    </x:row>
    <x:row r="133">
      <x:c r="A133" s="12" t="n">
        <x:v>951</x:v>
      </x:c>
      <x:c r="B133" s="12" t="str">
        <x:v>369</x:v>
      </x:c>
      <x:c r="C133" s="12" t="str">
        <x:v>Les allégations relatives aux prétendues demandes répétées de remboursement de frais médicaux</x:v>
      </x:c>
      <x:c r="D133" s="12" t="str">
        <x:v>P-[●]</x:v>
      </x:c>
      <x:c r="E133" s="12" t="n">
        <x:v>1</x:v>
      </x:c>
      <x:c r="F133" s="12" t="str">
        <x:v>context_required</x:v>
      </x:c>
      <x:c r="G133" s="12" t="str"/>
      <x:c r="H133" s="12" t="str">
        <x:v>generic_or_section_local_placeholder</x:v>
      </x:c>
      <x:c r="I133" s="12" t="str">
        <x:v>le tout tel qu’il appert du courriel produit comme pièce P-[●].</x:v>
      </x:c>
    </x:row>
    <x:row r="134">
      <x:c r="A134" s="12" t="n">
        <x:v>972</x:v>
      </x:c>
      <x:c r="B134" s="12" t="str">
        <x:v>379</x:v>
      </x:c>
      <x:c r="C134" s="12" t="str">
        <x:v>L’allégation relative à la contribution financière de la grand-mère paternelle</x:v>
      </x:c>
      <x:c r="D134" s="12" t="str">
        <x:v>P-[●]</x:v>
      </x:c>
      <x:c r="E134" s="12" t="n">
        <x:v>1</x:v>
      </x:c>
      <x:c r="F134" s="12" t="str">
        <x:v>context_required</x:v>
      </x:c>
      <x:c r="G134" s="12" t="str"/>
      <x:c r="H134" s="12" t="str">
        <x:v>generic_or_section_local_placeholder</x:v>
      </x:c>
      <x:c r="I134" s="12" t="str">
        <x:v>379. Le 21 octobre 2019, dans le dossier de la Cour supérieure portant le numéro 505-04-024603-151, la défenderesse Élise Ayoub a signé une déclaration sous serment préparée avec l’assistance de sa procureure, la défenderesse Me Marie-Josée Ayoub, laquelle est produite au soutien des présentes comme pièce P-[●].</x:v>
      </x:c>
    </x:row>
    <x:row r="135">
      <x:c r="A135" s="12" t="n">
        <x:v>986</x:v>
      </x:c>
      <x:c r="B135" s="12" t="str">
        <x:v>385</x:v>
      </x:c>
      <x:c r="C135" s="12" t="str">
        <x:v>L’allégation relative à la contribution financière de la grand-mère paternelle</x:v>
      </x:c>
      <x:c r="D135" s="12" t="str">
        <x:v>P-[●]</x:v>
      </x:c>
      <x:c r="E135" s="12" t="n">
        <x:v>1</x:v>
      </x:c>
      <x:c r="F135" s="12" t="str">
        <x:v>context_required</x:v>
      </x:c>
      <x:c r="G135" s="12" t="str"/>
      <x:c r="H135" s="12" t="str">
        <x:v>generic_or_section_local_placeholder</x:v>
      </x:c>
      <x:c r="I135" s="12" t="str">
        <x:v>385. Or, le 6 juin 2019, le demandeur avait lui-même écrit à la défenderesse Me Marie-Josée Ayoub, alors procureure d’Élise Ayoub, afin de l’informer que sa mère contribuait une somme de 1 000 $ au bénéfice des enfants, qu’il avait acheminé cette somme par l’intermédiaire de Revenu Québec et qu’Élise Ayoub devait la recevoir sous peu, tel qu’il appert du courriel produit comme pièce P-[●].</x:v>
      </x:c>
    </x:row>
    <x:row r="136">
      <x:c r="A136" s="12" t="n">
        <x:v>990</x:v>
      </x:c>
      <x:c r="B136" s="12" t="str">
        <x:v>387</x:v>
      </x:c>
      <x:c r="C136" s="12" t="str">
        <x:v>L’allégation relative à la contribution financière de la grand-mère paternelle</x:v>
      </x:c>
      <x:c r="D136" s="12" t="str">
        <x:v>P-[●]</x:v>
      </x:c>
      <x:c r="E136" s="12" t="n">
        <x:v>1</x:v>
      </x:c>
      <x:c r="F136" s="12" t="str">
        <x:v>context_required</x:v>
      </x:c>
      <x:c r="G136" s="12" t="str"/>
      <x:c r="H136" s="12" t="str">
        <x:v>generic_or_section_local_placeholder</x:v>
      </x:c>
      <x:c r="I136" s="12" t="str">
        <x:v>387. Le relevé de compte de Revenu Québec relatif au dossier de pension alimentaire dans lequel Élise Ayoub est identifiée comme créancière et le demandeur comme débiteur comporte, à la date de prise d’effet du 6 juin 2019, l’inscription d’un « paiement reçu » de 1 000 $, tel qu’il appert du relevé produit comme pièce P-[●].</x:v>
      </x:c>
    </x:row>
    <x:row r="137">
      <x:c r="A137" s="12" t="n">
        <x:v>1020</x:v>
      </x:c>
      <x:c r="B137" s="12" t="str">
        <x:v>400</x:v>
      </x:c>
      <x:c r="C137" s="12" t="str">
        <x:v>Les allégations relatives au prétendu choix du demandeur de ne pas travailler pour subvenir aux besoins de ses enfants (dénonciation du 21 juillet 2023)</x:v>
      </x:c>
      <x:c r="D137" s="12" t="str">
        <x:v>P-[●]</x:v>
      </x:c>
      <x:c r="E137" s="12" t="n">
        <x:v>1</x:v>
      </x:c>
      <x:c r="F137" s="12" t="str">
        <x:v>context_required</x:v>
      </x:c>
      <x:c r="G137" s="12" t="str"/>
      <x:c r="H137" s="12" t="str">
        <x:v>generic_or_section_local_placeholder</x:v>
      </x:c>
      <x:c r="I137" s="12" t="str">
        <x:v>400. Le 21 juillet 2023, dans le dossier de la Cour supérieure opposant les parties, la défenderesse Élise Ayoub a signé sous serment une dénonciation d’un moyen déclinatoire, préparée avec l’assistance de sa procureure, la défenderesse Me Marie-Josée Ayoub, laquelle est produite au soutien des présentes comme pièce P-[●].</x:v>
      </x:c>
    </x:row>
    <x:row r="138">
      <x:c r="A138" s="12" t="n">
        <x:v>1038</x:v>
      </x:c>
      <x:c r="B138" s="12" t="str">
        <x:v>406</x:v>
      </x:c>
      <x:c r="C138" s="12" t="str">
        <x:v>Les faits admis relatifs à la situation financière du demandeur</x:v>
      </x:c>
      <x:c r="D138" s="12" t="str">
        <x:v>P-[●]</x:v>
      </x:c>
      <x:c r="E138" s="12" t="n">
        <x:v>1</x:v>
      </x:c>
      <x:c r="F138" s="12" t="str">
        <x:v>context_required</x:v>
      </x:c>
      <x:c r="G138" s="12" t="str"/>
      <x:c r="H138" s="12" t="str">
        <x:v>generic_or_section_local_placeholder</x:v>
      </x:c>
      <x:c r="I138" s="12" t="str">
        <x:v>406. Le demandeur a perdu son emploi au mois de juin 2018, tel qu’il appert de la pièce P-[●].</x:v>
      </x:c>
    </x:row>
    <x:row r="139">
      <x:c r="A139" s="12" t="n">
        <x:v>1040</x:v>
      </x:c>
      <x:c r="B139" s="12" t="str">
        <x:v>407</x:v>
      </x:c>
      <x:c r="C139" s="12" t="str">
        <x:v>Les faits admis relatifs à la situation financière du demandeur</x:v>
      </x:c>
      <x:c r="D139" s="12" t="str">
        <x:v>P-[●]</x:v>
      </x:c>
      <x:c r="E139" s="12" t="n">
        <x:v>1</x:v>
      </x:c>
      <x:c r="F139" s="12" t="str">
        <x:v>context_required</x:v>
      </x:c>
      <x:c r="G139" s="12" t="str"/>
      <x:c r="H139" s="12" t="str">
        <x:v>generic_or_section_local_placeholder</x:v>
      </x:c>
      <x:c r="I139" s="12" t="str">
        <x:v>407. Le 27 septembre 2019, un jugement intérimaire rendu dans le même dossier a constaté « que Monsieur n’a aucun revenu » et a suspendu l’exécution de la pension alimentaire, tel qu’il appert de la pièce P-[●].</x:v>
      </x:c>
    </x:row>
    <x:row r="140">
      <x:c r="A140" s="12" t="n">
        <x:v>1046</x:v>
      </x:c>
      <x:c r="B140" s="12" t="str">
        <x:v>409</x:v>
      </x:c>
      <x:c r="C140" s="12" t="str">
        <x:v>Le profil professionnel invoqué et les revenus qui y sont associés</x:v>
      </x:c>
      <x:c r="D140" s="12" t="str">
        <x:v>P-[●]</x:v>
      </x:c>
      <x:c r="E140" s="12" t="n">
        <x:v>1</x:v>
      </x:c>
      <x:c r="F140" s="12" t="str">
        <x:v>context_required</x:v>
      </x:c>
      <x:c r="G140" s="12" t="str"/>
      <x:c r="H140" s="12" t="str">
        <x:v>generic_or_section_local_placeholder</x:v>
      </x:c>
      <x:c r="I140" s="12" t="str">
        <x:v>409. Dans une déclaration sous serment signée le 21 octobre 2019 et préparée par la défenderesse Me Marie-Josée Ayoub, la défenderesse Élise Ayoub avait défini le profil professionnel du demandeur comme celui d’un analyste, d’un technicien en laboratoire et d’un représentant au service à la clientèle dans le domaine bancaire, tel qu’il appert de la pièce P-[●].</x:v>
      </x:c>
    </x:row>
    <x:row r="141">
      <x:c r="A141" s="12" t="n">
        <x:v>1048</x:v>
      </x:c>
      <x:c r="B141" s="12" t="str">
        <x:v>410</x:v>
      </x:c>
      <x:c r="C141" s="12" t="str">
        <x:v>Le profil professionnel invoqué et les revenus qui y sont associés</x:v>
      </x:c>
      <x:c r="D141" s="12" t="str">
        <x:v>P-[●]</x:v>
      </x:c>
      <x:c r="E141" s="12" t="n">
        <x:v>1</x:v>
      </x:c>
      <x:c r="F141" s="12" t="str">
        <x:v>context_required</x:v>
      </x:c>
      <x:c r="G141" s="12" t="str"/>
      <x:c r="H141" s="12" t="str">
        <x:v>generic_or_section_local_placeholder</x:v>
      </x:c>
      <x:c r="I141" s="12" t="str">
        <x:v>410. Selon les données publiées par les autorités gouvernementales, le salaire médian associé à l’emploi de technicien en pharmacie était d’environ 17,00 $ l’heure, soit environ 35 360 $ par année, et celui de représentant au service à la clientèle dans le domaine financier d’environ 20,50 $ l’heure, soit environ 42 640 $ par année, tel qu’il appert de la pièce P-[●].</x:v>
      </x:c>
    </x:row>
    <x:row r="142">
      <x:c r="A142" s="12" t="n">
        <x:v>1050</x:v>
      </x:c>
      <x:c r="B142" s="12" t="str">
        <x:v>411</x:v>
      </x:c>
      <x:c r="C142" s="12" t="str">
        <x:v>Le profil professionnel invoqué et les revenus qui y sont associés</x:v>
      </x:c>
      <x:c r="D142" s="12" t="str">
        <x:v>P-[●]</x:v>
      </x:c>
      <x:c r="E142" s="12" t="n">
        <x:v>1</x:v>
      </x:c>
      <x:c r="F142" s="12" t="str">
        <x:v>context_required</x:v>
      </x:c>
      <x:c r="G142" s="12" t="str"/>
      <x:c r="H142" s="12" t="str">
        <x:v>generic_or_section_local_placeholder</x:v>
      </x:c>
      <x:c r="I142" s="12" t="str">
        <x:v>411. Le revenu déclaré du demandeur pour l’année 2019 était de 46 743,58 $, et son revenu d’emploi pour l’année 2018 était de 47 520,51 $, tel qu’il appert des pièces P-[●] et P-[●].</x:v>
      </x:c>
    </x:row>
    <x:row r="143">
      <x:c r="A143" s="12" t="n">
        <x:v>1050</x:v>
      </x:c>
      <x:c r="B143" s="12" t="str">
        <x:v>411</x:v>
      </x:c>
      <x:c r="C143" s="12" t="str">
        <x:v>Le profil professionnel invoqué et les revenus qui y sont associés</x:v>
      </x:c>
      <x:c r="D143" s="12" t="str">
        <x:v>P-[●]</x:v>
      </x:c>
      <x:c r="E143" s="12" t="n">
        <x:v>2</x:v>
      </x:c>
      <x:c r="F143" s="12" t="str">
        <x:v>context_required</x:v>
      </x:c>
      <x:c r="G143" s="12" t="str"/>
      <x:c r="H143" s="12" t="str">
        <x:v>generic_or_section_local_placeholder</x:v>
      </x:c>
      <x:c r="I143" s="12" t="str">
        <x:v>411. Le revenu déclaré du demandeur pour l’année 2019 était de 46 743,58 $, et son revenu d’emploi pour l’année 2018 était de 47 520,51 $, tel qu’il appert des pièces P-[●] et P-[●].</x:v>
      </x:c>
    </x:row>
    <x:row r="144">
      <x:c r="A144" s="12" t="n">
        <x:v>1058</x:v>
      </x:c>
      <x:c r="B144" s="12" t="str">
        <x:v>414</x:v>
      </x:c>
      <x:c r="C144" s="12" t="str">
        <x:v>La liste d’offres d’emploi visée au paragraphe 7</x:v>
      </x:c>
      <x:c r="D144" s="12" t="str">
        <x:v>P-[●]</x:v>
      </x:c>
      <x:c r="E144" s="12" t="n">
        <x:v>1</x:v>
      </x:c>
      <x:c r="F144" s="12" t="str">
        <x:v>context_required</x:v>
      </x:c>
      <x:c r="G144" s="12" t="str"/>
      <x:c r="H144" s="12" t="str">
        <x:v>generic_or_section_local_placeholder</x:v>
      </x:c>
      <x:c r="I144" s="12" t="str">
        <x:v>414. La liste d’offres d’emploi visée au paragraphe 7 de la dénonciation a été déposée à l’audience du 4 novembre 2019, à 10 h 38 min 50 s, pendant le témoignage de la défenderesse Élise Ayoub interrogée par sa procureure, sans communication préalable au demandeur, tel qu’il appert du procès-verbal produit comme pièce P-[●].</x:v>
      </x:c>
    </x:row>
    <x:row r="145">
      <x:c r="A145" s="12" t="n">
        <x:v>1068</x:v>
      </x:c>
      <x:c r="B145" s="12" t="str">
        <x:v>418</x:v>
      </x:c>
      <x:c r="C145" s="12" t="str">
        <x:v>Les démarches d’emploi et les contraintes du demandeur</x:v>
      </x:c>
      <x:c r="D145" s="12" t="str">
        <x:v>P-[●]</x:v>
      </x:c>
      <x:c r="E145" s="12" t="n">
        <x:v>1</x:v>
      </x:c>
      <x:c r="F145" s="12" t="str">
        <x:v>context_required</x:v>
      </x:c>
      <x:c r="G145" s="12" t="str"/>
      <x:c r="H145" s="12" t="str">
        <x:v>generic_or_section_local_placeholder</x:v>
      </x:c>
      <x:c r="I145" s="12" t="str">
        <x:v>418. Le 15 octobre 2019, le demandeur avait transmis à la défenderesse Me Marie-Josée Ayoub l’archive de ses démarches de recherche d’emploi, tel qu’il appert de la pièce P-[●].</x:v>
      </x:c>
    </x:row>
    <x:row r="146">
      <x:c r="A146" s="12" t="n">
        <x:v>1072</x:v>
      </x:c>
      <x:c r="B146" s="12" t="str">
        <x:v>420</x:v>
      </x:c>
      <x:c r="C146" s="12" t="str">
        <x:v>Les démarches d’emploi et les contraintes du demandeur</x:v>
      </x:c>
      <x:c r="D146" s="12" t="str">
        <x:v>P-[●]</x:v>
      </x:c>
      <x:c r="E146" s="12" t="n">
        <x:v>1</x:v>
      </x:c>
      <x:c r="F146" s="12" t="str">
        <x:v>context_required</x:v>
      </x:c>
      <x:c r="G146" s="12" t="str"/>
      <x:c r="H146" s="12" t="str">
        <x:v>generic_or_section_local_placeholder</x:v>
      </x:c>
      <x:c r="I146" s="12" t="str">
        <x:v>420. Le 17 février 2020, le demandeur a informé la défenderesse Me Marie-Josée Ayoub que la suspension de son passeport l’empêchait de quitter le pays pour y occuper un emploi, tel qu’il appert de la pièce P-[●].</x:v>
      </x:c>
    </x:row>
    <x:row r="147">
      <x:c r="A147" s="12" t="n">
        <x:v>1074</x:v>
      </x:c>
      <x:c r="B147" s="12" t="str">
        <x:v>421</x:v>
      </x:c>
      <x:c r="C147" s="12" t="str">
        <x:v>Les démarches d’emploi et les contraintes du demandeur</x:v>
      </x:c>
      <x:c r="D147" s="12" t="str">
        <x:v>P-[●]</x:v>
      </x:c>
      <x:c r="E147" s="12" t="n">
        <x:v>1</x:v>
      </x:c>
      <x:c r="F147" s="12" t="str">
        <x:v>context_required</x:v>
      </x:c>
      <x:c r="G147" s="12" t="str"/>
      <x:c r="H147" s="12" t="str">
        <x:v>generic_or_section_local_placeholder</x:v>
      </x:c>
      <x:c r="I147" s="12" t="str">
        <x:v>421. Le 17 avril 2020, le demandeur a écrit à la défenderesse Me Marie-Josée Ayoub qu’il arrivait à la fin de ses économies et qu’il ne s’était pas trouvé d’emploi au revenu de 65 000 $ par année retenu par le Tribunal, tel qu’il appert de la pièce P-[●].</x:v>
      </x:c>
    </x:row>
    <x:row r="148">
      <x:c r="A148" s="14" t="n">
        <x:v>1076</x:v>
      </x:c>
      <x:c r="B148" s="14" t="str">
        <x:v>422</x:v>
      </x:c>
      <x:c r="C148" s="14" t="str">
        <x:v>Les démarches d’emploi et les contraintes du demandeur</x:v>
      </x:c>
      <x:c r="D148" s="14" t="str">
        <x:v>P-[●]</x:v>
      </x:c>
      <x:c r="E148" s="14" t="n">
        <x:v>1</x:v>
      </x:c>
      <x:c r="F148" s="14" t="str">
        <x:v>context_required</x:v>
      </x:c>
      <x:c r="G148" s="14" t="str"/>
      <x:c r="H148" s="14" t="str">
        <x:v>generic_or_section_local_placeholder</x:v>
      </x:c>
      <x:c r="I148" s="14" t="str">
        <x:v>422. Le 22 juin 2020, le demandeur a écrit à la défenderesse Élise Ayoub qu’il n’existait pas d’emploi de centre d’appels ou de technicien en laboratoire au salaire de 65 000 $ par année et que son absence d’emploi à ce salaire n’était pas due à sa mauvaise foi, tel qu’il appert de la pièce P-[●].</x:v>
      </x:c>
    </x:row>
  </x:sheetData>
  <x:mergeCells>
    <x:mergeCell ref="A1:I1"/>
  </x:mergeCells>
  <x:conditionalFormatting sqref="F4:F148">
    <x:cfRule type="containsText" dxfId="3" priority="1" operator="containsText" text="missing"/>
    <x:cfRule type="containsText" dxfId="4" priority="2" operator="containsText" text="proposed_strong"/>
  </x:conditionalFormatting>
  <x:pageMargins left="0.7" right="0.7" top="0.75" bottom="0.75" header="0.3" footer="0.3"/>
  <x:tableParts count="1">
    <x:tablePart xmlns:r="http://schemas.openxmlformats.org/officeDocument/2006/relationships" r:id="Rdf158555758f44a0"/>
  </x:tableParts>
</x:worksheet>
</file>