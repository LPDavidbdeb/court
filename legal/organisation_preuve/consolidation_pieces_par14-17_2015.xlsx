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08d76c9f044304" /></Relationships>
</file>

<file path=xl/workbook.xml><?xml version="1.0" encoding="utf-8"?>
<x:workbook xmlns:x="http://schemas.openxmlformats.org/spreadsheetml/2006/main">
  <x:sheets>
    <x:sheet xmlns:r="http://schemas.openxmlformats.org/officeDocument/2006/relationships" name="Sommaire" sheetId="1" r:id="R580efc7c957b4995"/>
    <x:sheet xmlns:r="http://schemas.openxmlformats.org/officeDocument/2006/relationships" name="Inventaire" sheetId="2" r:id="R8d4c9e116fba409c"/>
    <x:sheet xmlns:r="http://schemas.openxmlformats.org/officeDocument/2006/relationships" name="Matrice" sheetId="3" r:id="R0205141990884941"/>
    <x:sheet xmlns:r="http://schemas.openxmlformats.org/officeDocument/2006/relationships" name="Rattachement" sheetId="4" r:id="R931021dd3ca044a8"/>
    <x:sheet xmlns:r="http://schemas.openxmlformats.org/officeDocument/2006/relationships" name="Réf. collectives" sheetId="5" r:id="Rf8dc0aa4dc2c4f75"/>
    <x:sheet xmlns:r="http://schemas.openxmlformats.org/officeDocument/2006/relationships" name="Analytiques exclues" sheetId="6" r:id="Rc4e040b3c6344754"/>
    <x:sheet xmlns:r="http://schemas.openxmlformats.org/officeDocument/2006/relationships" name="Anomalies" sheetId="7" r:id="R3e0933384c1243c6"/>
    <x:sheet xmlns:r="http://schemas.openxmlformats.org/officeDocument/2006/relationships" name="Pièces centrales" sheetId="8" r:id="Re12a112733f842aa"/>
    <x:sheet xmlns:r="http://schemas.openxmlformats.org/officeDocument/2006/relationships" name="Complémentaires" sheetId="9" r:id="Rf9a624b2ea0f4f8e"/>
    <x:sheet xmlns:r="http://schemas.openxmlformats.org/officeDocument/2006/relationships" name="Admissibilité" sheetId="10" r:id="R37a6ba79e0c94ac3"/>
    <x:sheet xmlns:r="http://schemas.openxmlformats.org/officeDocument/2006/relationships" name="Guide" sheetId="11" r:id="Rcc6d580d45174ac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i/>
      <x:sz val="10"/>
      <x:color rgb="FF334155"/>
      <x:name val="Carlito"/>
    </x:font>
    <x:font>
      <x:b/>
      <x:sz val="11"/>
      <x:name val="Carlito"/>
    </x:font>
    <x:font>
      <x:b/>
      <x:sz val="13"/>
      <x:name val="Carlito"/>
    </x:font>
    <x:font>
      <x:b/>
      <x:sz val="11"/>
      <x:color rgb="FF1F2937"/>
      <x:name val="Carlito"/>
    </x:font>
  </x:fonts>
  <x:fills count="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F7F9FB"/>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0" borderId="0" xfId="0" applyNumberFormat="1" applyFont="1" applyFill="1" applyBorder="1"/>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0" borderId="0" xfId="0" applyNumberFormat="1" applyFont="1" applyFill="1" applyBorder="1" applyAlignment="1">
      <x:alignment horizontal="center" vertical="center"/>
    </x:xf>
    <x:xf numFmtId="0" fontId="4" fillId="0" borderId="1" xfId="0" applyNumberFormat="1" applyFont="1" applyFill="1" applyBorder="1" applyAlignment="1">
      <x:alignment vertical="center"/>
    </x:xf>
    <x:xf numFmtId="200" fontId="4" fillId="0" borderId="1" xfId="0" applyNumberFormat="1" applyFont="1" applyFill="1" applyBorder="1" applyAlignment="1">
      <x:alignment vertical="center"/>
    </x:xf>
    <x:xf numFmtId="200" fontId="4" fillId="0"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0" xfId="0" applyNumberFormat="1" applyFont="1" applyFill="1" applyBorder="1" applyAlignment="1">
      <x:alignment horizontal="center" wrapText="1"/>
    </x:xf>
    <x:xf numFmtId="200" fontId="0" fillId="0" borderId="1" xfId="0" applyNumberFormat="1" applyFont="1" applyFill="1" applyBorder="1" applyAlignment="1">
      <x:alignment wrapText="1"/>
    </x:xf>
    <x:xf numFmtId="200" fontId="0" fillId="0" borderId="1" xfId="0" applyNumberFormat="1" applyFont="1" applyFill="1" applyBorder="1" applyAlignment="1">
      <x:alignment horizont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dxfs count="7">
    <x:dxf>
      <x:fill>
        <x:patternFill patternType="solid">
          <x:bgColor rgb="FFE2F0D9"/>
        </x:patternFill>
      </x:fill>
    </x:dxf>
    <x:dxf>
      <x:fill>
        <x:patternFill patternType="solid">
          <x:bgColor rgb="FFFFF2CC"/>
        </x:patternFill>
      </x:fill>
    </x:dxf>
    <x:dxf>
      <x:fill>
        <x:patternFill patternType="solid">
          <x:bgColor rgb="FFDDEBF7"/>
        </x:patternFill>
      </x:fill>
    </x:dxf>
    <x:dxf>
      <x:font>
        <x:b/>
      </x:font>
      <x:fill>
        <x:patternFill patternType="solid">
          <x:bgColor rgb="FFE2F0D9"/>
        </x:patternFill>
      </x:fill>
    </x:dxf>
    <x:dxf>
      <x:fill>
        <x:patternFill patternType="solid">
          <x:bgColor rgb="FFFCE4D6"/>
        </x:patternFill>
      </x:fill>
    </x:dxf>
    <x:dxf>
      <x:fill>
        <x:patternFill patternType="solid">
          <x:bgColor rgb="FFFFF2CC"/>
        </x:patternFill>
      </x:fill>
    </x:dxf>
    <x:dxf>
      <x:font>
        <x:color rgb="FF9CA3AF"/>
      </x:font>
    </x:dxf>
  </x:dxfs>
</x:styleSheet>
</file>

<file path=xl/_rels/workbook.xml.rels>&#65279;<?xml version="1.0" encoding="utf-8"?><Relationships xmlns="http://schemas.openxmlformats.org/package/2006/relationships"><Relationship Type="http://schemas.openxmlformats.org/officeDocument/2006/relationships/styles" Target="/xl/styles.xml" Id="R91048a5fa7304c7c" /><Relationship Type="http://schemas.openxmlformats.org/officeDocument/2006/relationships/theme" Target="/xl/theme/theme1.xml" Id="R6d77a63759c047a2" /><Relationship Type="http://schemas.openxmlformats.org/officeDocument/2006/relationships/sharedStrings" Target="/xl/sharedStrings.xml" Id="R06ab940833e74bb2" /><Relationship Type="http://schemas.openxmlformats.org/officeDocument/2006/relationships/worksheet" Target="/xl/worksheets/sheet1.xml" Id="R580efc7c957b4995" /><Relationship Type="http://schemas.openxmlformats.org/officeDocument/2006/relationships/worksheet" Target="/xl/worksheets/sheet2.xml" Id="R8d4c9e116fba409c" /><Relationship Type="http://schemas.openxmlformats.org/officeDocument/2006/relationships/worksheet" Target="/xl/worksheets/sheet3.xml" Id="R0205141990884941" /><Relationship Type="http://schemas.openxmlformats.org/officeDocument/2006/relationships/worksheet" Target="/xl/worksheets/sheet4.xml" Id="R931021dd3ca044a8" /><Relationship Type="http://schemas.openxmlformats.org/officeDocument/2006/relationships/worksheet" Target="/xl/worksheets/sheet5.xml" Id="Rf8dc0aa4dc2c4f75" /><Relationship Type="http://schemas.openxmlformats.org/officeDocument/2006/relationships/worksheet" Target="/xl/worksheets/sheet6.xml" Id="Rc4e040b3c6344754" /><Relationship Type="http://schemas.openxmlformats.org/officeDocument/2006/relationships/worksheet" Target="/xl/worksheets/sheet7.xml" Id="R3e0933384c1243c6" /><Relationship Type="http://schemas.openxmlformats.org/officeDocument/2006/relationships/worksheet" Target="/xl/worksheets/sheet8.xml" Id="Re12a112733f842aa" /><Relationship Type="http://schemas.openxmlformats.org/officeDocument/2006/relationships/worksheet" Target="/xl/worksheets/sheet9.xml" Id="Rf9a624b2ea0f4f8e" /><Relationship Type="http://schemas.openxmlformats.org/officeDocument/2006/relationships/worksheet" Target="/xl/worksheets/sheet10.xml" Id="R37a6ba79e0c94ac3" /><Relationship Type="http://schemas.openxmlformats.org/officeDocument/2006/relationships/worksheet" Target="/xl/worksheets/sheet11.xml" Id="Rcc6d580d45174ac5" /></Relationships>
</file>

<file path=xl/drawings/_rels/drawing1.xml.rels>&#65279;<?xml version="1.0" encoding="utf-8"?><Relationships xmlns="http://schemas.openxmlformats.org/package/2006/relationships"><Relationship Type="http://schemas.openxmlformats.org/officeDocument/2006/relationships/chart" Target="/xl/drawings/charts/chart1.xml" Id="Rb9ce1f181ac6451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Répartition par statut de repérage</a:t>
            </a:r>
          </a:p>
        </c:rich>
      </c:tx>
      <c:overlay val="0"/>
    </c:title>
    <c:autoTitleDeleted val="0"/>
    <c:plotArea>
      <c:layout/>
      <c:barChart>
        <c:barDir val="col"/>
        <c:varyColors val="0"/>
        <c:ser>
          <c:idx val="0"/>
          <c:order val="0"/>
          <c:tx>
            <c:v>Nombre</c:v>
          </c:tx>
          <c:cat>
            <c:strRef>
              <c:f>'Sommaire'!$D$5:$D$9</c:f>
              <c:strCache>
                <c:ptCount val="0"/>
              </c:strCache>
            </c:strRef>
          </c:cat>
          <c:val>
            <c:numRef>
              <c:f>'Sommaire'!$E$5:$E$9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ce1f181ac64516"/>
        </a:graphicData>
      </a:graphic>
    </xdr:graphicFrame>
    <xdr:clientData/>
  </xdr:twoCellAnchor>
</xdr:wsDr>
</file>

<file path=xl/tables/table1.xml><?xml version="1.0" encoding="utf-8"?>
<x:table xmlns:x="http://schemas.openxmlformats.org/spreadsheetml/2006/main" id="1" name="InventaireTable" displayName="InventaireTable" ref="A4:I210" headerRowCount="1">
  <x:tableColumns count="9">
    <x:tableColumn id="1" name="No"/>
    <x:tableColumn id="2" name="Référence interne exacte"/>
    <x:tableColumn id="3" name="Cote ou alias mentionné"/>
    <x:tableColumn id="4" name="Date"/>
    <x:tableColumn id="5" name="Nature du document"/>
    <x:tableColumn id="6" name="Fait ou proposition soutenue"/>
    <x:tableColumn id="7" name="Fichier ou section où la référence apparaît"/>
    <x:tableColumn id="8" name="Statut dans la liste source"/>
    <x:tableColumn id="9" name="Réserve ou observation"/>
  </x:tableColumns>
  <x:tableStyleInfo name="TableStyleMedium2" showRowStripes="1"/>
</x:table>
</file>

<file path=xl/tables/table2.xml><?xml version="1.0" encoding="utf-8"?>
<x:table xmlns:x="http://schemas.openxmlformats.org/spreadsheetml/2006/main" id="2" name="MatriceTable" displayName="MatriceTable" ref="A4:G210" headerRowCount="1">
  <x:tableColumns count="7">
    <x:tableColumn id="1" name="Référence interne"/>
    <x:tableColumn id="2" name="Faits"/>
    <x:tableColumn id="3" name="Pont — récit"/>
    <x:tableColumn id="4" name="Pont — tableau final"/>
    <x:tableColumn id="5" name="Axe/Argument"/>
    <x:tableColumn id="6" name="Relation/Synthèse"/>
    <x:tableColumn id="7" name="Autre"/>
  </x:tableColumns>
  <x:tableStyleInfo name="TableStyleMedium2" showRowStripes="1"/>
</x:table>
</file>

<file path=xl/tables/table3.xml><?xml version="1.0" encoding="utf-8"?>
<x:table xmlns:x="http://schemas.openxmlformats.org/spreadsheetml/2006/main" id="3" name="RattachementTable" displayName="RattachementTable" ref="A4:E35" headerRowCount="1">
  <x:tableColumns count="5">
    <x:tableColumn id="1" name="Paragraphe procédural"/>
    <x:tableColumn id="2" name="Proposition factuelle"/>
    <x:tableColumn id="3" name="Référence ou références internes"/>
    <x:tableColumn id="4" name="Type de soutien"/>
    <x:tableColumn id="5" name="Observation"/>
  </x:tableColumns>
  <x:tableStyleInfo name="TableStyleMedium2" showRowStripes="1"/>
</x:table>
</file>

<file path=xl/tables/table4.xml><?xml version="1.0" encoding="utf-8"?>
<x:table xmlns:x="http://schemas.openxmlformats.org/spreadsheetml/2006/main" id="4" name="CollectivesTable" displayName="CollectivesTable" ref="A4:B14" headerRowCount="1">
  <x:tableColumns count="2">
    <x:tableColumn id="1" name="Référence collective exacte"/>
    <x:tableColumn id="2" name="Traitement"/>
  </x:tableColumns>
  <x:tableStyleInfo name="TableStyleMedium2" showRowStripes="1"/>
</x:table>
</file>

<file path=xl/tables/table5.xml><?xml version="1.0" encoding="utf-8"?>
<x:table xmlns:x="http://schemas.openxmlformats.org/spreadsheetml/2006/main" id="5" name="ExclusTable" displayName="ExclusTable" ref="A4:B20" headerRowCount="1">
  <x:tableColumns count="2">
    <x:tableColumn id="1" name="Référence analytique"/>
    <x:tableColumn id="2" name="Motif d’exclusion"/>
  </x:tableColumns>
  <x:tableStyleInfo name="TableStyleMedium2" showRowStripes="1"/>
</x:table>
</file>

<file path=xl/tables/table6.xml><?xml version="1.0" encoding="utf-8"?>
<x:table xmlns:x="http://schemas.openxmlformats.org/spreadsheetml/2006/main" id="6" name="AnomaliesTable" displayName="AnomaliesTable" ref="A4:A14" headerRowCount="1">
  <x:tableColumns count="1">
    <x:tableColumn id="1" name="Anomalie ou omission"/>
  </x:tableColumns>
  <x:tableStyleInfo name="TableStyleMedium2" showRowStripes="1"/>
</x:table>
</file>

<file path=xl/tables/table7.xml><?xml version="1.0" encoding="utf-8"?>
<x:table xmlns:x="http://schemas.openxmlformats.org/spreadsheetml/2006/main" id="7" name="CentralesTable" displayName="CentralesTable" ref="A4:A22" headerRowCount="1">
  <x:tableColumns count="1">
    <x:tableColumn id="1" name="Référence"/>
  </x:tableColumns>
  <x:tableStyleInfo name="TableStyleMedium2" showRowStripes="1"/>
</x:table>
</file>

<file path=xl/tables/table8.xml><?xml version="1.0" encoding="utf-8"?>
<x:table xmlns:x="http://schemas.openxmlformats.org/spreadsheetml/2006/main" id="8" name="ComplementairesTable" displayName="ComplementairesTable" ref="A4:A14" headerRowCount="1">
  <x:tableColumns count="1">
    <x:tableColumn id="1" name="Référence ou groupe"/>
  </x:tableColumns>
  <x:tableStyleInfo name="TableStyleMedium2" showRowStripes="1"/>
</x:table>
</file>

<file path=xl/tables/table9.xml><?xml version="1.0" encoding="utf-8"?>
<x:table xmlns:x="http://schemas.openxmlformats.org/spreadsheetml/2006/main" id="9" name="AdmissibiliteTable" displayName="AdmissibiliteTable" ref="A4:A11" headerRowCount="1">
  <x:tableColumns count="1">
    <x:tableColumn id="1" name="Réserve"/>
  </x:tableColumns>
  <x:tableStyleInfo name="TableStyleMedium2" showRowStripes="1"/>
</x:table>
</file>

<file path=xl/tables/table10.xml><?xml version="1.0" encoding="utf-8"?>
<x:table xmlns:x="http://schemas.openxmlformats.org/spreadsheetml/2006/main" id="10" name="GuideTable" displayName="GuideTable" ref="A4:C12" headerRowCount="1">
  <x:tableColumns count="3">
    <x:tableColumn id="1" name="Onglet"/>
    <x:tableColumn id="2" name="Contenu"/>
    <x:tableColumn id="3" name="Règle de lectur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56cffc1f3d546e7" /></Relationships>
</file>

<file path=xl/worksheets/_rels/sheet2.xml.rels>&#65279;<?xml version="1.0" encoding="utf-8"?><Relationships xmlns="http://schemas.openxmlformats.org/package/2006/relationships"><Relationship Type="http://schemas.openxmlformats.org/officeDocument/2006/relationships/table" Target="/xl/tables/table1.xml" Id="R9d226505d50b41e9" /></Relationships>
</file>

<file path=xl/worksheets/_rels/sheet3.xml.rels>&#65279;<?xml version="1.0" encoding="utf-8"?><Relationships xmlns="http://schemas.openxmlformats.org/package/2006/relationships"><Relationship Type="http://schemas.openxmlformats.org/officeDocument/2006/relationships/table" Target="/xl/tables/table2.xml" Id="Rfe2dba7c9d244616" /></Relationships>
</file>

<file path=xl/worksheets/_rels/sheet4.xml.rels>&#65279;<?xml version="1.0" encoding="utf-8"?><Relationships xmlns="http://schemas.openxmlformats.org/package/2006/relationships"><Relationship Type="http://schemas.openxmlformats.org/officeDocument/2006/relationships/table" Target="/xl/tables/table3.xml" Id="Rd0e99241b4f3434e" /></Relationships>
</file>

<file path=xl/worksheets/_rels/sheet5.xml.rels>&#65279;<?xml version="1.0" encoding="utf-8"?><Relationships xmlns="http://schemas.openxmlformats.org/package/2006/relationships"><Relationship Type="http://schemas.openxmlformats.org/officeDocument/2006/relationships/table" Target="/xl/tables/table4.xml" Id="Rd91c29a453bb49cc" /></Relationships>
</file>

<file path=xl/worksheets/_rels/sheet6.xml.rels>&#65279;<?xml version="1.0" encoding="utf-8"?><Relationships xmlns="http://schemas.openxmlformats.org/package/2006/relationships"><Relationship Type="http://schemas.openxmlformats.org/officeDocument/2006/relationships/table" Target="/xl/tables/table5.xml" Id="Ref89a5affc0b4951" /></Relationships>
</file>

<file path=xl/worksheets/_rels/sheet7.xml.rels>&#65279;<?xml version="1.0" encoding="utf-8"?><Relationships xmlns="http://schemas.openxmlformats.org/package/2006/relationships"><Relationship Type="http://schemas.openxmlformats.org/officeDocument/2006/relationships/table" Target="/xl/tables/table6.xml" Id="R7213262d3e824104" /></Relationships>
</file>

<file path=xl/worksheets/_rels/sheet8.xml.rels>&#65279;<?xml version="1.0" encoding="utf-8"?><Relationships xmlns="http://schemas.openxmlformats.org/package/2006/relationships"><Relationship Type="http://schemas.openxmlformats.org/officeDocument/2006/relationships/table" Target="/xl/tables/table7.xml" Id="Rdec9b2f841b74cbb" /></Relationships>
</file>

<file path=xl/worksheets/_rels/sheet9.xml.rels>&#65279;<?xml version="1.0" encoding="utf-8"?><Relationships xmlns="http://schemas.openxmlformats.org/package/2006/relationships"><Relationship Type="http://schemas.openxmlformats.org/officeDocument/2006/relationships/table" Target="/xl/tables/table8.xml" Id="Ra66e2bcfaf754855" /></Relationships>
</file>

<file path=xl/worksheets/_rels/sheet10.xml.rels>&#65279;<?xml version="1.0" encoding="utf-8"?><Relationships xmlns="http://schemas.openxmlformats.org/package/2006/relationships"><Relationship Type="http://schemas.openxmlformats.org/officeDocument/2006/relationships/table" Target="/xl/tables/table9.xml" Id="R919f6fd6d25346bf" /></Relationships>
</file>

<file path=xl/worksheets/_rels/sheet11.xml.rels>&#65279;<?xml version="1.0" encoding="utf-8"?><Relationships xmlns="http://schemas.openxmlformats.org/package/2006/relationships"><Relationship Type="http://schemas.openxmlformats.org/officeDocument/2006/relationships/table" Target="/xl/tables/table10.xml" Id="R87f5046727b5422f" /></Relationships>
</file>

<file path=xl/worksheets/sheet1.xml><?xml version="1.0" encoding="utf-8"?>
<x:worksheet xmlns:x="http://schemas.openxmlformats.org/spreadsheetml/2006/main">
  <x:sheetFormatPr defaultRowHeight="15"/>
  <x:cols>
    <x:col min="1" max="1" width="34" hidden="0" customWidth="1"/>
    <x:col min="2" max="2" width="14" hidden="0" customWidth="1"/>
    <x:col min="4" max="4" width="42" hidden="0" customWidth="1"/>
    <x:col min="5" max="5" width="12" hidden="0" customWidth="1"/>
  </x:cols>
  <x:sheetData>
    <x:row r="1" ht="28" customHeight="1">
      <x:c r="A1" s="5" t="str">
        <x:v>Consolidation documentaire — §§14 à 17</x:v>
      </x:c>
      <x:c r="B1" s="5"/>
      <x:c r="C1" s="5"/>
      <x:c r="D1" s="5"/>
      <x:c r="E1" s="5"/>
      <x:c r="F1" s="5"/>
      <x:c r="G1" s="5"/>
      <x:c r="H1" s="5"/>
      <x:c r="I1" s="5"/>
      <x:c r="J1" s="5"/>
      <x:c r="K1" s="5"/>
      <x:c r="L1" s="5"/>
      <x:c r="M1" s="5"/>
      <x:c r="N1" s="5"/>
      <x:c r="O1" s="5"/>
      <x:c r="P1" s="5"/>
    </x:row>
    <x:row r="2" ht="34" customHeight="1">
      <x:c r="A2" s="13" t="str">
        <x:v>Union des pièces probatoires, matrice de présence, rattachement procédural et réserves.</x:v>
      </x:c>
      <x:c r="B2" s="13"/>
      <x:c r="C2" s="13"/>
      <x:c r="D2" s="13"/>
      <x:c r="E2" s="13"/>
      <x:c r="F2" s="13"/>
      <x:c r="G2" s="13"/>
      <x:c r="H2" s="13"/>
      <x:c r="I2" s="13"/>
      <x:c r="J2" s="13"/>
      <x:c r="K2" s="13"/>
      <x:c r="L2" s="13"/>
      <x:c r="M2" s="13"/>
      <x:c r="N2" s="13"/>
      <x:c r="O2" s="13"/>
      <x:c r="P2" s="13"/>
    </x:row>
    <x:row r="4">
      <x:c r="A4" s="20" t="str">
        <x:v>Indicateur</x:v>
      </x:c>
      <x:c r="B4" s="20" t="str">
        <x:v>Valeur</x:v>
      </x:c>
      <x:c r="D4" s="20" t="str">
        <x:v>Statut dans la liste source</x:v>
      </x:c>
      <x:c r="E4" s="20" t="str">
        <x:v>Nombre</x:v>
      </x:c>
    </x:row>
    <x:row r="5">
      <x:c r="A5" s="25" t="str">
        <x:v>Références probatoires distinctes</x:v>
      </x:c>
      <x:c r="B5" s="29" t="n">
        <x:f>COUNTA(Inventaire!B:B)-1</x:f>
        <x:v>206</x:v>
      </x:c>
      <x:c r="D5" s="33" t="str">
        <x:v>explicitement listée</x:v>
      </x:c>
      <x:c r="E5" s="36" t="n">
        <x:f>COUNTIF(Inventaire!H:H,D5)</x:f>
        <x:v>192</x:v>
      </x:c>
    </x:row>
    <x:row r="6">
      <x:c r="A6" s="25" t="str">
        <x:v>Références collectives ou plages</x:v>
      </x:c>
      <x:c r="B6" s="29" t="n">
        <x:f>COUNTA('Réf. collectives'!A:A)-3</x:f>
        <x:v>10</x:v>
      </x:c>
      <x:c r="D6" s="33" t="str">
        <x:v>mentionnée dans le récit</x:v>
      </x:c>
      <x:c r="E6" s="36" t="n">
        <x:f>COUNTIF(Inventaire!H:H,D6)</x:f>
        <x:v>8</x:v>
      </x:c>
    </x:row>
    <x:row r="7">
      <x:c r="A7" s="25" t="str">
        <x:v>Documents analytiques exclus</x:v>
      </x:c>
      <x:c r="B7" s="29" t="n">
        <x:f>COUNTA('Analytiques exclues'!A:A)-3</x:f>
        <x:v>16</x:v>
      </x:c>
      <x:c r="D7" s="33" t="str">
        <x:v>pièce complémentaire</x:v>
      </x:c>
      <x:c r="E7" s="36" t="n">
        <x:f>COUNTIF(Inventaire!H:H,D7)</x:f>
        <x:v>6</x:v>
      </x:c>
    </x:row>
    <x:row r="8">
      <x:c r="A8" s="25" t="str">
        <x:v>Anomalies ou omissions</x:v>
      </x:c>
      <x:c r="B8" s="29" t="n">
        <x:f>COUNTA(Anomalies!A:A)-3</x:f>
        <x:v>10</x:v>
      </x:c>
      <x:c r="D8" s="33" t="str">
        <x:v>seulement implicite</x:v>
      </x:c>
      <x:c r="E8" s="36" t="n">
        <x:f>COUNTIF(Inventaire!H:H,D8)</x:f>
        <x:v>0</x:v>
      </x:c>
    </x:row>
    <x:row r="9">
      <x:c r="A9" s="25" t="str">
        <x:v>Paragraphes procéduraux rattachés</x:v>
      </x:c>
      <x:c r="B9" s="29" t="n">
        <x:f>COUNTA(Rattachement!A:A)-3</x:f>
        <x:v>31</x:v>
      </x:c>
      <x:c r="D9" s="33" t="str">
        <x:v>référence analytique exclue des pièces probatoires</x:v>
      </x:c>
      <x:c r="E9" s="36" t="n">
        <x:f>COUNTIF(Inventaire!H:H,D9)</x:f>
        <x:v>0</x:v>
      </x:c>
    </x:row>
    <x:row r="12">
      <x:c r="A12" s="19" t="str">
        <x:v>Notes de méthode</x:v>
      </x:c>
      <x:c r="B12" s="19"/>
      <x:c r="C12" s="19"/>
      <x:c r="D12" s="19"/>
      <x:c r="E12" s="19"/>
      <x:c r="F12" s="19"/>
      <x:c r="G12" s="19"/>
      <x:c r="H12" s="19"/>
    </x:row>
    <x:row r="13">
      <x:c r="A13" s="41" t="str">
        <x:v>Les identifiants ne sont fusionnés que lorsqu’une équivalence est clairement établie dans les fichiers. Les alias seulement probables demeurent séparés. Le nombre total porte donc sur les identifiants exacts conservés après déduplication stricte, et non nécessairement sur le nombre de documents physiques.</x:v>
      </x:c>
      <x:c r="B13" s="41"/>
      <x:c r="C13" s="41"/>
      <x:c r="D13" s="41"/>
      <x:c r="E13" s="41"/>
      <x:c r="F13" s="41"/>
      <x:c r="G13" s="41"/>
      <x:c r="H13" s="41"/>
    </x:row>
    <x:row r="14">
      <x:c r="A14" s="41"/>
      <x:c r="B14" s="41"/>
      <x:c r="C14" s="41"/>
      <x:c r="D14" s="41"/>
      <x:c r="E14" s="41"/>
      <x:c r="F14" s="41"/>
      <x:c r="G14" s="41"/>
      <x:c r="H14" s="41"/>
    </x:row>
    <x:row r="15">
      <x:c r="A15" s="41"/>
      <x:c r="B15" s="41"/>
      <x:c r="C15" s="41"/>
      <x:c r="D15" s="41"/>
      <x:c r="E15" s="41"/>
      <x:c r="F15" s="41"/>
      <x:c r="G15" s="41"/>
      <x:c r="H15" s="41"/>
    </x:row>
    <x:row r="16">
      <x:c r="A16" s="41"/>
      <x:c r="B16" s="41"/>
      <x:c r="C16" s="41"/>
      <x:c r="D16" s="41"/>
      <x:c r="E16" s="41"/>
      <x:c r="F16" s="41"/>
      <x:c r="G16" s="41"/>
      <x:c r="H16" s="41"/>
    </x:row>
    <x:row r="17">
      <x:c r="A17" s="41"/>
      <x:c r="B17" s="41"/>
      <x:c r="C17" s="41"/>
      <x:c r="D17" s="41"/>
      <x:c r="E17" s="41"/>
      <x:c r="F17" s="41"/>
      <x:c r="G17" s="41"/>
      <x:c r="H17" s="41"/>
    </x:row>
  </x:sheetData>
  <x:mergeCells>
    <x:mergeCell ref="A1:P1"/>
    <x:mergeCell ref="A2:P2"/>
    <x:mergeCell ref="A12:H12"/>
    <x:mergeCell ref="A13:H17"/>
  </x:mergeCells>
  <x:pageMargins left="0.7" right="0.7" top="0.75" bottom="0.75" header="0.3" footer="0.3"/>
  <x:drawing xmlns:r="http://schemas.openxmlformats.org/officeDocument/2006/relationships" r:id="R156cffc1f3d546e7"/>
</x:worksheet>
</file>

<file path=xl/worksheets/sheet2.xml><?xml version="1.0" encoding="utf-8"?>
<x:worksheet xmlns:x="http://schemas.openxmlformats.org/spreadsheetml/2006/main">
  <x:sheetFormatPr defaultRowHeight="15"/>
  <x:cols>
    <x:col min="1" max="1" width="8" hidden="0" customWidth="1"/>
    <x:col min="2" max="2" width="33" hidden="0" customWidth="1"/>
    <x:col min="3" max="3" width="31" hidden="0" customWidth="1"/>
    <x:col min="4" max="4" width="16" hidden="0" customWidth="1"/>
    <x:col min="5" max="5" width="28" hidden="0" customWidth="1"/>
    <x:col min="6" max="6" width="48" hidden="0" customWidth="1"/>
    <x:col min="7" max="7" width="52" hidden="0" customWidth="1"/>
    <x:col min="8" max="8" width="26" hidden="0" customWidth="1"/>
    <x:col min="9" max="9" width="52" hidden="0" customWidth="1"/>
  </x:cols>
  <x:sheetData>
    <x:row r="1" ht="28" customHeight="1">
      <x:c r="A1" s="5" t="str">
        <x:v>Inventaire principal — union exhaustive</x:v>
      </x:c>
      <x:c r="B1" s="5"/>
      <x:c r="C1" s="5"/>
      <x:c r="D1" s="5"/>
      <x:c r="E1" s="5"/>
      <x:c r="F1" s="5"/>
      <x:c r="G1" s="5"/>
      <x:c r="H1" s="5"/>
      <x:c r="I1" s="5"/>
    </x:row>
    <x:row r="2" ht="34" customHeight="1">
      <x:c r="A2" s="13" t="str">
        <x:v>206 identifiants probatoires distincts; les alias seulement probables sont conservés séparément.</x:v>
      </x:c>
      <x:c r="B2" s="13"/>
      <x:c r="C2" s="13"/>
      <x:c r="D2" s="13"/>
      <x:c r="E2" s="13"/>
      <x:c r="F2" s="13"/>
      <x:c r="G2" s="13"/>
      <x:c r="H2" s="13"/>
      <x:c r="I2" s="13"/>
    </x:row>
    <x:row r="4" ht="34" customHeight="1">
      <x:c r="A4" s="48" t="str">
        <x:v>No</x:v>
      </x:c>
      <x:c r="B4" s="48" t="str">
        <x:v>Référence interne exacte</x:v>
      </x:c>
      <x:c r="C4" s="48" t="str">
        <x:v>Cote ou alias mentionné</x:v>
      </x:c>
      <x:c r="D4" s="48" t="str">
        <x:v>Date</x:v>
      </x:c>
      <x:c r="E4" s="48" t="str">
        <x:v>Nature du document</x:v>
      </x:c>
      <x:c r="F4" s="48" t="str">
        <x:v>Fait ou proposition soutenue</x:v>
      </x:c>
      <x:c r="G4" s="48" t="str">
        <x:v>Fichier ou section où la référence apparaît</x:v>
      </x:c>
      <x:c r="H4" s="48" t="str">
        <x:v>Statut dans la liste source</x:v>
      </x:c>
      <x:c r="I4" s="48" t="str">
        <x:v>Réserve ou observation</x:v>
      </x:c>
    </x:row>
    <x:row r="5">
      <x:c r="A5" s="55" t="str">
        <x:v>1</x:v>
      </x:c>
      <x:c r="B5" s="53" t="str">
        <x:v>piece_document-1.md</x:v>
      </x:c>
      <x:c r="C5" s="53" t="str">
        <x:v>document-1; Document 1</x:v>
      </x:c>
      <x:c r="D5" s="55" t="str">
        <x:v>2015-11-19</x:v>
      </x:c>
      <x:c r="E5" s="53" t="str">
        <x:v>Requête judiciaire sous serment</x:v>
      </x:c>
      <x:c r="F5" s="53" t="str">
        <x:v>Teneur des §§14 à 17; formulation contestée; omissions alléguées</x:v>
      </x:c>
      <x:c r="G5" s="53" t="str">
        <x:v>Faits — rattachement et axes 1/5; Pont — récit, tableau final et version procédurale; Argument; Relation/Synthèse</x:v>
      </x:c>
      <x:c r="H5" s="53" t="str">
        <x:v>explicitement listée</x:v>
      </x:c>
      <x:c r="I5" s="53" t="str">
        <x:v>Pièce d’ancrage procédural.</x:v>
      </x:c>
    </x:row>
    <x:row r="6">
      <x:c r="A6" s="55" t="str">
        <x:v>2</x:v>
      </x:c>
      <x:c r="B6" s="53" t="str">
        <x:v>piece_pdf-2.md</x:v>
      </x:c>
      <x:c r="C6" s="53" t="str">
        <x:v>PDFDocument id=2</x:v>
      </x:c>
      <x:c r="D6" s="55" t="str">
        <x:v>2015-04-20</x:v>
      </x:c>
      <x:c r="E6" s="53" t="str">
        <x:v>Lettre/offre formelle</x:v>
      </x:c>
      <x:c r="F6" s="53" t="str">
        <x:v>Offre de garde partagée selon un horaire 2-2-3</x:v>
      </x:c>
      <x:c r="G6" s="53" t="str">
        <x:v>Faits — axe 2; Pont — récit, tableau final et version procédurale; Relation/Synthèse</x:v>
      </x:c>
      <x:c r="H6" s="53" t="str">
        <x:v>explicitement listée</x:v>
      </x:c>
      <x:c r="I6" s="53" t="str"/>
    </x:row>
    <x:row r="7">
      <x:c r="A7" s="55" t="str">
        <x:v>3</x:v>
      </x:c>
      <x:c r="B7" s="53" t="str">
        <x:v>piece_pdf-3.md</x:v>
      </x:c>
      <x:c r="C7" s="53" t="str">
        <x:v>PDFDocument id=3; P-3</x:v>
      </x:c>
      <x:c r="D7" s="55" t="str">
        <x:v>2015-04-27</x:v>
      </x:c>
      <x:c r="E7" s="53" t="str">
        <x:v>Lettre d’avocate</x:v>
      </x:c>
      <x:c r="F7" s="53" t="str">
        <x:v>Motif contemporain du refus fondé sur la routine; accès avec nuitées non supervisées</x:v>
      </x:c>
      <x:c r="G7" s="53" t="str">
        <x:v>Faits — axe 1; Pont — récit, tableau final et version procédurale; Argument; Relation/Synthèse</x:v>
      </x:c>
      <x:c r="H7" s="53" t="str">
        <x:v>explicitement listée</x:v>
      </x:c>
      <x:c r="I7" s="53" t="str">
        <x:v>Correspondance d’alias fortement établie dans les fichiers.</x:v>
      </x:c>
    </x:row>
    <x:row r="8">
      <x:c r="A8" s="55" t="str">
        <x:v>4</x:v>
      </x:c>
      <x:c r="B8" s="53" t="str">
        <x:v>piece_pdf-5.md</x:v>
      </x:c>
      <x:c r="C8" s="53" t="str">
        <x:v>PDFDocument id=5</x:v>
      </x:c>
      <x:c r="D8" s="55" t="str">
        <x:v>2015-08-13</x:v>
      </x:c>
      <x:c r="E8" s="53" t="str">
        <x:v>Projet de consentement non signé</x:v>
      </x:c>
      <x:c r="F8" s="53" t="str">
        <x:v>Progression des droits d’accès en quatre phases</x:v>
      </x:c>
      <x:c r="G8" s="53" t="str">
        <x:v>Faits — axe 2; Pont — récit, tableau final et version procédurale; Relation/Synthèse</x:v>
      </x:c>
      <x:c r="H8" s="53" t="str">
        <x:v>explicitement listée</x:v>
      </x:c>
      <x:c r="I8" s="53" t="str">
        <x:v>La relation avec P-355 est présentée comme vraisemblable, non confirmée; P-355 demeure une entrée distincte.</x:v>
      </x:c>
    </x:row>
    <x:row r="9">
      <x:c r="A9" s="55" t="str">
        <x:v>5</x:v>
      </x:c>
      <x:c r="B9" s="53" t="str">
        <x:v>piece_pdf-6.md</x:v>
      </x:c>
      <x:c r="C9" s="53" t="str">
        <x:v>PDFDocument id=6</x:v>
      </x:c>
      <x:c r="D9" s="55" t="str">
        <x:v>2015-09-02</x:v>
      </x:c>
      <x:c r="E9" s="53" t="str">
        <x:v>Lettre de réponse d’avocat</x:v>
      </x:c>
      <x:c r="F9" s="53" t="str">
        <x:v>Acceptation d’une progression; passage demandé au 2-2-3 le 7 février 2016; horaire tenant compte de la danse</x:v>
      </x:c>
      <x:c r="G9" s="53" t="str">
        <x:v>Faits — axes 2/5; Pont — récit, tableau final et version procédurale; Axe danse; Relation/Synthèse</x:v>
      </x:c>
      <x:c r="H9" s="53" t="str">
        <x:v>explicitement listée</x:v>
      </x:c>
      <x:c r="I9" s="53" t="str">
        <x:v>La relation avec P-356 est présentée comme vraisemblable, non confirmée; P-356 demeure une entrée distincte.</x:v>
      </x:c>
    </x:row>
    <x:row r="10">
      <x:c r="A10" s="55" t="str">
        <x:v>6</x:v>
      </x:c>
      <x:c r="B10" s="53" t="str">
        <x:v>P-355</x:v>
      </x:c>
      <x:c r="C10" s="53" t="str">
        <x:v>alias possible de piece_pdf-5.md / PDFDocument id=5</x:v>
      </x:c>
      <x:c r="D10" s="55" t="str">
        <x:v>2015-08-13</x:v>
      </x:c>
      <x:c r="E10" s="53" t="str">
        <x:v>Cote procédurale mentionnée</x:v>
      </x:c>
      <x:c r="F10" s="53" t="str">
        <x:v>Projet/offre progressive du 13 août 2015</x:v>
      </x:c>
      <x:c r="G10" s="53" t="str">
        <x:v>Argument; Relation/Synthèse</x:v>
      </x:c>
      <x:c r="H10" s="53" t="str">
        <x:v>explicitement listée</x:v>
      </x:c>
      <x:c r="I10" s="53" t="str">
        <x:v>Alias probable seulement; non fusionné conformément à la règle de prudence.</x:v>
      </x:c>
    </x:row>
    <x:row r="11">
      <x:c r="A11" s="55" t="str">
        <x:v>7</x:v>
      </x:c>
      <x:c r="B11" s="53" t="str">
        <x:v>P-356</x:v>
      </x:c>
      <x:c r="C11" s="53" t="str">
        <x:v>alias possible de piece_pdf-6.md / PDFDocument id=6</x:v>
      </x:c>
      <x:c r="D11" s="55" t="str">
        <x:v>2015-09-02</x:v>
      </x:c>
      <x:c r="E11" s="53" t="str">
        <x:v>Cote procédurale mentionnée</x:v>
      </x:c>
      <x:c r="F11" s="53" t="str">
        <x:v>Réponse progressive du 2 septembre 2015</x:v>
      </x:c>
      <x:c r="G11" s="53" t="str">
        <x:v>Argument; Relation/Synthèse</x:v>
      </x:c>
      <x:c r="H11" s="53" t="str">
        <x:v>explicitement listée</x:v>
      </x:c>
      <x:c r="I11" s="53" t="str">
        <x:v>Alias probable seulement; non fusionné conformément à la règle de prudence.</x:v>
      </x:c>
    </x:row>
    <x:row r="12">
      <x:c r="A12" s="55" t="str">
        <x:v>8</x:v>
      </x:c>
      <x:c r="B12" s="53" t="str">
        <x:v>piece_photo-4558.md</x:v>
      </x:c>
      <x:c r="C12" s="53" t="str">
        <x:v>photo-4558; dossier RQAP</x:v>
      </x:c>
      <x:c r="D12" s="55" t="str">
        <x:v>2009-2010</x:v>
      </x:c>
      <x:c r="E12" s="53" t="str">
        <x:v>Photographie/registre gouvernemental RQAP</x:v>
      </x:c>
      <x:c r="F12" s="53" t="str">
        <x:v>Répartition des semaines de congé parental et de paternité</x:v>
      </x:c>
      <x:c r="G12" s="53" t="str">
        <x:v>Faits — axe 3; Pont — récit, tableau final et version procédurale; Relation/Synthèse</x:v>
      </x:c>
      <x:c r="H12" s="53" t="str">
        <x:v>explicitement listée</x:v>
      </x:c>
      <x:c r="I12" s="53" t="str">
        <x:v>Cote procédurale finale non attribuée.</x:v>
      </x:c>
    </x:row>
    <x:row r="13">
      <x:c r="A13" s="55" t="str">
        <x:v>9</x:v>
      </x:c>
      <x:c r="B13" s="53" t="str">
        <x:v>piece_thread-12_email-16.md</x:v>
      </x:c>
      <x:c r="C13" s="53" t="str">
        <x:v>Email id=16; P-362</x:v>
      </x:c>
      <x:c r="D13" s="55" t="str">
        <x:v>2016-01-11</x:v>
      </x:c>
      <x:c r="E13" s="53" t="str">
        <x:v>Fil de courriels entre les parties</x:v>
      </x:c>
      <x:c r="F13" s="53" t="str">
        <x:v>Distinction entre « pas 50 % » et formulation d’implication minimale; demande de retrait d’un passage</x:v>
      </x:c>
      <x:c r="G13" s="53" t="str">
        <x:v>Faits — axe 3; Pont — récit, tableau final et version procédurale; Argument; Relation/Synthèse</x:v>
      </x:c>
      <x:c r="H13" s="53" t="str">
        <x:v>explicitement listée</x:v>
      </x:c>
      <x:c r="I13" s="53" t="str">
        <x:v>Portée limitée au passage discuté concernant Alexia/§6; ne constitue pas une rétractation expresse des §§15-17.</x:v>
      </x:c>
    </x:row>
    <x:row r="14">
      <x:c r="A14" s="55" t="str">
        <x:v>10</x:v>
      </x:c>
      <x:c r="B14" s="53" t="str">
        <x:v>piece_pdf-1.md</x:v>
      </x:c>
      <x:c r="C14" s="53" t="str">
        <x:v>P-1</x:v>
      </x:c>
      <x:c r="D14" s="55" t="str">
        <x:v>2013-06-11</x:v>
      </x:c>
      <x:c r="E14" s="53" t="str">
        <x:v>Courriel d’avocate à sa cliente</x:v>
      </x:c>
      <x:c r="F14" s="53" t="str">
        <x:v>Projet de garde exclusive urgente, relocalisation et réduction des contacts; création d’une routine</x:v>
      </x:c>
      <x:c r="G14" s="53" t="str">
        <x:v>Faits — axe 4; Pont — récit, tableau final et version procédurale; Argument; Axe présence; Relation/Synthèse</x:v>
      </x:c>
      <x:c r="H14" s="53" t="str">
        <x:v>explicitement listée</x:v>
      </x:c>
      <x:c r="I14" s="53" t="str">
        <x:v>Utilisation corroborante et inférentielle; admissibilité, secret professionnel et renonciation au privilège à analyser.</x:v>
      </x:c>
    </x:row>
    <x:row r="15">
      <x:c r="A15" s="55" t="str">
        <x:v>11</x:v>
      </x:c>
      <x:c r="B15" s="53" t="str">
        <x:v>PDFDocument id=59</x:v>
      </x:c>
      <x:c r="C15" s="53" t="str">
        <x:v>PDFDocument 59</x:v>
      </x:c>
      <x:c r="D15" s="55" t="str">
        <x:v>publication en ligne; date non précisée</x:v>
      </x:c>
      <x:c r="E15" s="53" t="str">
        <x:v>Biographie auto-publiée</x:v>
      </x:c>
      <x:c r="F15" s="53" t="str">
        <x:v>Historique des activités de danse, enseignement et gestion d’événements</x:v>
      </x:c>
      <x:c r="G15" s="53" t="str">
        <x:v>Pont — récit et tableau final; Argument; Axe danse; Catalogue §6; Relation/Synthèse</x:v>
      </x:c>
      <x:c r="H15" s="53" t="str">
        <x:v>explicitement listée</x:v>
      </x:c>
      <x:c r="I15" s="53" t="str">
        <x:v>La période exacte et l’authenticité de la capture devront être établies.</x:v>
      </x:c>
    </x:row>
    <x:row r="16">
      <x:c r="A16" s="55" t="str">
        <x:v>12</x:v>
      </x:c>
      <x:c r="B16" s="53" t="str">
        <x:v>piece_thread-6_email-295.md</x:v>
      </x:c>
      <x:c r="C16" s="53" t="str">
        <x:v>Email id=295; thread-6</x:v>
      </x:c>
      <x:c r="D16" s="55" t="str">
        <x:v>2016-09-16</x:v>
      </x:c>
      <x:c r="E16" s="53" t="str">
        <x:v>Courriel dans un fil entre les parties</x:v>
      </x:c>
      <x:c r="F16" s="53" t="str">
        <x:v>Affirmation que la participation n’aurait jamais été de 50 %</x:v>
      </x:c>
      <x:c r="G16" s="53" t="str">
        <x:v>Faits — axe 3; Relation/Synthèse; certains passages repris au Pont</x:v>
      </x:c>
      <x:c r="H16" s="53" t="str">
        <x:v>mentionnée dans le récit</x:v>
      </x:c>
      <x:c r="I16" s="53" t="str"/>
    </x:row>
    <x:row r="17">
      <x:c r="A17" s="55" t="str">
        <x:v>13</x:v>
      </x:c>
      <x:c r="B17" s="53" t="str">
        <x:v>piece_thread-6_email-8.md</x:v>
      </x:c>
      <x:c r="C17" s="53" t="str">
        <x:v>Email id=8; thread-6</x:v>
      </x:c>
      <x:c r="D17" s="55" t="str">
        <x:v>2016-09-16</x:v>
      </x:c>
      <x:c r="E17" s="53" t="str">
        <x:v>Courriel dans un fil entre les parties</x:v>
      </x:c>
      <x:c r="F17" s="53" t="str">
        <x:v>Reconnaissance de l’effet des accusations et débat sur le 50 %</x:v>
      </x:c>
      <x:c r="G17" s="53" t="str">
        <x:v>Faits — axe 3; Relation/Synthèse; certains passages repris au Pont</x:v>
      </x:c>
      <x:c r="H17" s="53" t="str">
        <x:v>mentionnée dans le récit</x:v>
      </x:c>
      <x:c r="I17" s="53" t="str"/>
    </x:row>
    <x:row r="18">
      <x:c r="A18" s="55" t="str">
        <x:v>14</x:v>
      </x:c>
      <x:c r="B18" s="53" t="str">
        <x:v>piece_thread-6_email-306.md</x:v>
      </x:c>
      <x:c r="C18" s="53" t="str">
        <x:v>Email id=306; thread-6</x:v>
      </x:c>
      <x:c r="D18" s="55" t="str">
        <x:v>2016-09-16</x:v>
      </x:c>
      <x:c r="E18" s="53" t="str">
        <x:v>Courriel dans un fil entre les parties</x:v>
      </x:c>
      <x:c r="F18" s="53" t="str">
        <x:v>Débat sur le 50 %; réponse aux propos sarcastiques; non-contestation alléguée de certains faits</x:v>
      </x:c>
      <x:c r="G18" s="53" t="str">
        <x:v>Faits — axe 3; Relation/Synthèse; certains passages repris au Pont; Axe agenda de danse; Catalogue §6-D</x:v>
      </x:c>
      <x:c r="H18" s="53" t="str">
        <x:v>mentionnée dans le récit</x:v>
      </x:c>
      <x:c r="I18" s="53" t="str">
        <x:v>L’absence de contestation ne doit pas être automatiquement qualifiée d’aveu sans analyse juridique.</x:v>
      </x:c>
    </x:row>
    <x:row r="19">
      <x:c r="A19" s="55" t="str">
        <x:v>15</x:v>
      </x:c>
      <x:c r="B19" s="53" t="str">
        <x:v>piece_thread-6_email-6.md</x:v>
      </x:c>
      <x:c r="C19" s="53" t="str">
        <x:v>Email id=6; thread-6</x:v>
      </x:c>
      <x:c r="D19" s="55" t="str">
        <x:v>2016-09-16</x:v>
      </x:c>
      <x:c r="E19" s="53" t="str">
        <x:v>Courriel dans un fil entre les parties</x:v>
      </x:c>
      <x:c r="F19" s="53" t="str">
        <x:v>Déclaration relative à l’incapacité et au lien d’attachement</x:v>
      </x:c>
      <x:c r="G19" s="53" t="str">
        <x:v>Faits — axe 3; Relation/Synthèse; certains passages repris au Pont</x:v>
      </x:c>
      <x:c r="H19" s="53" t="str">
        <x:v>mentionnée dans le récit</x:v>
      </x:c>
      <x:c r="I19" s="53" t="str"/>
    </x:row>
    <x:row r="20">
      <x:c r="A20" s="55" t="str">
        <x:v>16</x:v>
      </x:c>
      <x:c r="B20" s="53" t="str">
        <x:v>Email id=275</x:v>
      </x:c>
      <x:c r="C20" s="53" t="str">
        <x:v>thread-6</x:v>
      </x:c>
      <x:c r="D20" s="55" t="str">
        <x:v>2016-09-16</x:v>
      </x:c>
      <x:c r="E20" s="53" t="str">
        <x:v>Courriel du défendeur</x:v>
      </x:c>
      <x:c r="F20" s="53" t="str">
        <x:v>Estimation personnelle d’une implication d’environ 46 %</x:v>
      </x:c>
      <x:c r="G20" s="53" t="str">
        <x:v>Faits — axe 3; Relation/Synthèse</x:v>
      </x:c>
      <x:c r="H20" s="53" t="str">
        <x:v>mentionnée dans le récit</x:v>
      </x:c>
      <x:c r="I20" s="53" t="str">
        <x:v>Déclaration intéressée du défendeur; contexte, non preuve autonome du pourcentage.</x:v>
      </x:c>
    </x:row>
    <x:row r="21">
      <x:c r="A21" s="55" t="str">
        <x:v>17</x:v>
      </x:c>
      <x:c r="B21" s="53" t="str">
        <x:v>Email id=69</x:v>
      </x:c>
      <x:c r="C21" s="53" t="str"/>
      <x:c r="D21" s="55" t="str">
        <x:v>2011-03-07</x:v>
      </x:c>
      <x:c r="E21" s="53" t="str">
        <x:v>Courriel professionnel BNC</x:v>
      </x:c>
      <x:c r="F21" s="53" t="str">
        <x:v>Absence pour garder l’enfant; demande de congé</x:v>
      </x:c>
      <x:c r="G21" s="53" t="str">
        <x:v>Axe absences au travail — inventaire complet; Catalogue §6; Pont — faisceau médical</x:v>
      </x:c>
      <x:c r="H21" s="53" t="str">
        <x:v>explicitement listée</x:v>
      </x:c>
      <x:c r="I21" s="53" t="str"/>
    </x:row>
    <x:row r="22">
      <x:c r="A22" s="55" t="str">
        <x:v>18</x:v>
      </x:c>
      <x:c r="B22" s="53" t="str">
        <x:v>Email id=68</x:v>
      </x:c>
      <x:c r="C22" s="53" t="str"/>
      <x:c r="D22" s="55" t="str">
        <x:v>2011-03-07</x:v>
      </x:c>
      <x:c r="E22" s="53" t="str">
        <x:v>Courriel professionnel BNC</x:v>
      </x:c>
      <x:c r="F22" s="53" t="str">
        <x:v>Contexte: gardienne indisponible et absence de place en garderie</x:v>
      </x:c>
      <x:c r="G22" s="53" t="str">
        <x:v>Axe absences au travail — inventaire complet; Catalogue §6; Pont — faisceau médical</x:v>
      </x:c>
      <x:c r="H22" s="53" t="str">
        <x:v>explicitement listée</x:v>
      </x:c>
      <x:c r="I22" s="53" t="str"/>
    </x:row>
    <x:row r="23">
      <x:c r="A23" s="55" t="str">
        <x:v>19</x:v>
      </x:c>
      <x:c r="B23" s="53" t="str">
        <x:v>Email id=64</x:v>
      </x:c>
      <x:c r="C23" s="53" t="str"/>
      <x:c r="D23" s="55" t="str">
        <x:v>2011-05-02</x:v>
      </x:c>
      <x:c r="E23" s="53" t="str">
        <x:v>Courriel professionnel BNC</x:v>
      </x:c>
      <x:c r="F23" s="53" t="str">
        <x:v>Enfant malade et consultation médicale</x:v>
      </x:c>
      <x:c r="G23" s="53" t="str">
        <x:v>Axe absences au travail — inventaire complet; Catalogue §6; Pont — faisceau médical</x:v>
      </x:c>
      <x:c r="H23" s="53" t="str">
        <x:v>explicitement listée</x:v>
      </x:c>
      <x:c r="I23" s="53" t="str"/>
    </x:row>
    <x:row r="24">
      <x:c r="A24" s="55" t="str">
        <x:v>20</x:v>
      </x:c>
      <x:c r="B24" s="53" t="str">
        <x:v>Email id=118</x:v>
      </x:c>
      <x:c r="C24" s="53" t="str"/>
      <x:c r="D24" s="55" t="str">
        <x:v>2011-05-03</x:v>
      </x:c>
      <x:c r="E24" s="53" t="str">
        <x:v>Courriel professionnel BNC</x:v>
      </x:c>
      <x:c r="F24" s="53" t="str">
        <x:v>Participation à une décision médicale et second avis</x:v>
      </x:c>
      <x:c r="G24" s="53" t="str">
        <x:v>Axe absences au travail — inventaire complet; Catalogue §6; Pont — faisceau médical</x:v>
      </x:c>
      <x:c r="H24" s="53" t="str">
        <x:v>explicitement listée</x:v>
      </x:c>
      <x:c r="I24" s="53" t="str"/>
    </x:row>
    <x:row r="25">
      <x:c r="A25" s="55" t="str">
        <x:v>21</x:v>
      </x:c>
      <x:c r="B25" s="53" t="str">
        <x:v>Email id=61</x:v>
      </x:c>
      <x:c r="C25" s="53" t="str"/>
      <x:c r="D25" s="55" t="str">
        <x:v>2011-05-25</x:v>
      </x:c>
      <x:c r="E25" s="53" t="str">
        <x:v>Courriel professionnel BNC</x:v>
      </x:c>
      <x:c r="F25" s="53" t="str">
        <x:v>Rendez-vous pédiatrique et vaccins</x:v>
      </x:c>
      <x:c r="G25" s="53" t="str">
        <x:v>Axe absences au travail — inventaire complet; Catalogue §6; Pont — faisceau médical</x:v>
      </x:c>
      <x:c r="H25" s="53" t="str">
        <x:v>explicitement listée</x:v>
      </x:c>
      <x:c r="I25" s="53" t="str"/>
    </x:row>
    <x:row r="26">
      <x:c r="A26" s="55" t="str">
        <x:v>22</x:v>
      </x:c>
      <x:c r="B26" s="53" t="str">
        <x:v>Email id=59</x:v>
      </x:c>
      <x:c r="C26" s="53" t="str">
        <x:v>P-93</x:v>
      </x:c>
      <x:c r="D26" s="55" t="str">
        <x:v>2011-07-06</x:v>
      </x:c>
      <x:c r="E26" s="53" t="str">
        <x:v>Courriel professionnel BNC</x:v>
      </x:c>
      <x:c r="F26" s="53" t="str">
        <x:v>Reste à la maison avec sa fille malade</x:v>
      </x:c>
      <x:c r="G26" s="53" t="str">
        <x:v>Axe absences au travail — inventaire complet; Catalogue §6; Pont — faisceau médical</x:v>
      </x:c>
      <x:c r="H26" s="53" t="str">
        <x:v>explicitement listée</x:v>
      </x:c>
      <x:c r="I26" s="53" t="str"/>
    </x:row>
    <x:row r="27">
      <x:c r="A27" s="55" t="str">
        <x:v>23</x:v>
      </x:c>
      <x:c r="B27" s="53" t="str">
        <x:v>Email id=58</x:v>
      </x:c>
      <x:c r="C27" s="53" t="str"/>
      <x:c r="D27" s="55" t="str">
        <x:v>2011-07-06</x:v>
      </x:c>
      <x:c r="E27" s="53" t="str">
        <x:v>Courriel professionnel BNC</x:v>
      </x:c>
      <x:c r="F27" s="53" t="str">
        <x:v>Réponse de la supérieure reportant une rencontre PnL</x:v>
      </x:c>
      <x:c r="G27" s="53" t="str">
        <x:v>Axe absences au travail — inventaire complet; Catalogue §6; Pont — faisceau médical</x:v>
      </x:c>
      <x:c r="H27" s="53" t="str">
        <x:v>pièce complémentaire</x:v>
      </x:c>
      <x:c r="I27" s="53" t="str"/>
    </x:row>
    <x:row r="28">
      <x:c r="A28" s="55" t="str">
        <x:v>24</x:v>
      </x:c>
      <x:c r="B28" s="53" t="str">
        <x:v>Email id=56</x:v>
      </x:c>
      <x:c r="C28" s="53" t="str"/>
      <x:c r="D28" s="55" t="str">
        <x:v>2011-08-29</x:v>
      </x:c>
      <x:c r="E28" s="53" t="str">
        <x:v>Courriel professionnel BNC</x:v>
      </x:c>
      <x:c r="F28" s="53" t="str">
        <x:v>Demi-journée avec sa fille</x:v>
      </x:c>
      <x:c r="G28" s="53" t="str">
        <x:v>Axe absences au travail — inventaire complet; Catalogue §6; Pont — faisceau médical</x:v>
      </x:c>
      <x:c r="H28" s="53" t="str">
        <x:v>explicitement listée</x:v>
      </x:c>
      <x:c r="I28" s="53" t="str"/>
    </x:row>
    <x:row r="29">
      <x:c r="A29" s="55" t="str">
        <x:v>25</x:v>
      </x:c>
      <x:c r="B29" s="53" t="str">
        <x:v>Email id=55</x:v>
      </x:c>
      <x:c r="C29" s="53" t="str"/>
      <x:c r="D29" s="55" t="str">
        <x:v>2011-09-06</x:v>
      </x:c>
      <x:c r="E29" s="53" t="str">
        <x:v>Courriel professionnel BNC</x:v>
      </x:c>
      <x:c r="F29" s="53" t="str">
        <x:v>Journée à domicile avec sa fille malade</x:v>
      </x:c>
      <x:c r="G29" s="53" t="str">
        <x:v>Axe absences au travail — inventaire complet; Catalogue §6; Pont — faisceau médical</x:v>
      </x:c>
      <x:c r="H29" s="53" t="str">
        <x:v>explicitement listée</x:v>
      </x:c>
      <x:c r="I29" s="53" t="str"/>
    </x:row>
    <x:row r="30">
      <x:c r="A30" s="55" t="str">
        <x:v>26</x:v>
      </x:c>
      <x:c r="B30" s="53" t="str">
        <x:v>Email id=53/488</x:v>
      </x:c>
      <x:c r="C30" s="53" t="str"/>
      <x:c r="D30" s="55" t="str">
        <x:v>2011-12-12</x:v>
      </x:c>
      <x:c r="E30" s="53" t="str">
        <x:v>Courriel professionnel BNC</x:v>
      </x:c>
      <x:c r="F30" s="53" t="str">
        <x:v>Journée à domicile avec sa fille malade</x:v>
      </x:c>
      <x:c r="G30" s="53" t="str">
        <x:v>Axe absences au travail — inventaire complet; Catalogue §6; Pont — faisceau médical</x:v>
      </x:c>
      <x:c r="H30" s="53" t="str">
        <x:v>explicitement listée</x:v>
      </x:c>
      <x:c r="I30" s="53" t="str">
        <x:v>Deux identifiants sont employés pour ce qui paraît être le même courriel; l’équivalence doit être confirmée.</x:v>
      </x:c>
    </x:row>
    <x:row r="31">
      <x:c r="A31" s="55" t="str">
        <x:v>27</x:v>
      </x:c>
      <x:c r="B31" s="53" t="str">
        <x:v>Email id=51</x:v>
      </x:c>
      <x:c r="C31" s="53" t="str"/>
      <x:c r="D31" s="55" t="str">
        <x:v>2011-12-16</x:v>
      </x:c>
      <x:c r="E31" s="53" t="str">
        <x:v>Courriel professionnel BNC</x:v>
      </x:c>
      <x:c r="F31" s="53" t="str">
        <x:v>Absence lorsque la belle-mère ne peut venir</x:v>
      </x:c>
      <x:c r="G31" s="53" t="str">
        <x:v>Axe absences au travail — inventaire complet; Catalogue §6; Pont — faisceau médical</x:v>
      </x:c>
      <x:c r="H31" s="53" t="str">
        <x:v>explicitement listée</x:v>
      </x:c>
      <x:c r="I31" s="53" t="str"/>
    </x:row>
    <x:row r="32">
      <x:c r="A32" s="55" t="str">
        <x:v>28</x:v>
      </x:c>
      <x:c r="B32" s="53" t="str">
        <x:v>Email id=47</x:v>
      </x:c>
      <x:c r="C32" s="53" t="str"/>
      <x:c r="D32" s="55" t="str">
        <x:v>2012-05-22</x:v>
      </x:c>
      <x:c r="E32" s="53" t="str">
        <x:v>Courriel professionnel BNC</x:v>
      </x:c>
      <x:c r="F32" s="53" t="str">
        <x:v>Journée à domicile avec sa fille</x:v>
      </x:c>
      <x:c r="G32" s="53" t="str">
        <x:v>Axe absences au travail — inventaire complet; Catalogue §6; Pont — faisceau médical</x:v>
      </x:c>
      <x:c r="H32" s="53" t="str">
        <x:v>explicitement listée</x:v>
      </x:c>
      <x:c r="I32" s="53" t="str"/>
    </x:row>
    <x:row r="33">
      <x:c r="A33" s="55" t="str">
        <x:v>29</x:v>
      </x:c>
      <x:c r="B33" s="53" t="str">
        <x:v>Email id=45</x:v>
      </x:c>
      <x:c r="C33" s="53" t="str"/>
      <x:c r="D33" s="55" t="str">
        <x:v>2012-07-04</x:v>
      </x:c>
      <x:c r="E33" s="53" t="str">
        <x:v>Courriel professionnel BNC</x:v>
      </x:c>
      <x:c r="F33" s="53" t="str">
        <x:v>Gastro de l’enfant; présence à domicile</x:v>
      </x:c>
      <x:c r="G33" s="53" t="str">
        <x:v>Axe absences au travail — inventaire complet; Catalogue §6; Pont — faisceau médical</x:v>
      </x:c>
      <x:c r="H33" s="53" t="str">
        <x:v>explicitement listée</x:v>
      </x:c>
      <x:c r="I33" s="53" t="str"/>
    </x:row>
    <x:row r="34">
      <x:c r="A34" s="55" t="str">
        <x:v>30</x:v>
      </x:c>
      <x:c r="B34" s="53" t="str">
        <x:v>Email id=42</x:v>
      </x:c>
      <x:c r="C34" s="53" t="str"/>
      <x:c r="D34" s="55" t="str">
        <x:v>2012-09-10</x:v>
      </x:c>
      <x:c r="E34" s="53" t="str">
        <x:v>Courriel professionnel BNC</x:v>
      </x:c>
      <x:c r="F34" s="53" t="str">
        <x:v>Présence à domicile avec l’enfant malade</x:v>
      </x:c>
      <x:c r="G34" s="53" t="str">
        <x:v>Axe absences au travail — inventaire complet; Catalogue §6; Pont — faisceau médical</x:v>
      </x:c>
      <x:c r="H34" s="53" t="str">
        <x:v>explicitement listée</x:v>
      </x:c>
      <x:c r="I34" s="53" t="str"/>
    </x:row>
    <x:row r="35">
      <x:c r="A35" s="55" t="str">
        <x:v>31</x:v>
      </x:c>
      <x:c r="B35" s="53" t="str">
        <x:v>Email id=41</x:v>
      </x:c>
      <x:c r="C35" s="53" t="str"/>
      <x:c r="D35" s="55" t="str">
        <x:v>2013-02-08</x:v>
      </x:c>
      <x:c r="E35" s="53" t="str">
        <x:v>Courriel professionnel BNC</x:v>
      </x:c>
      <x:c r="F35" s="53" t="str">
        <x:v>Nuits difficiles avec le bébé et l’aînée</x:v>
      </x:c>
      <x:c r="G35" s="53" t="str">
        <x:v>Axe absences au travail — inventaire complet; Catalogue §6; Pont — faisceau médical</x:v>
      </x:c>
      <x:c r="H35" s="53" t="str">
        <x:v>explicitement listée</x:v>
      </x:c>
      <x:c r="I35" s="53" t="str"/>
    </x:row>
    <x:row r="36">
      <x:c r="A36" s="55" t="str">
        <x:v>32</x:v>
      </x:c>
      <x:c r="B36" s="53" t="str">
        <x:v>Email id=40</x:v>
      </x:c>
      <x:c r="C36" s="53" t="str"/>
      <x:c r="D36" s="55" t="str">
        <x:v>2013-06-03</x:v>
      </x:c>
      <x:c r="E36" s="53" t="str">
        <x:v>Courriel professionnel BNC</x:v>
      </x:c>
      <x:c r="F36" s="53" t="str">
        <x:v>Reste à domicile pour aider avec le bébé</x:v>
      </x:c>
      <x:c r="G36" s="53" t="str">
        <x:v>Axe absences au travail — inventaire complet; Catalogue §6; Pont — faisceau médical</x:v>
      </x:c>
      <x:c r="H36" s="53" t="str">
        <x:v>explicitement listée</x:v>
      </x:c>
      <x:c r="I36" s="53" t="str"/>
    </x:row>
    <x:row r="37">
      <x:c r="A37" s="55" t="str">
        <x:v>33</x:v>
      </x:c>
      <x:c r="B37" s="53" t="str">
        <x:v>Email id=30</x:v>
      </x:c>
      <x:c r="C37" s="53" t="str"/>
      <x:c r="D37" s="55" t="str">
        <x:v>2014-05-05</x:v>
      </x:c>
      <x:c r="E37" s="53" t="str">
        <x:v>Courriel professionnel BNC</x:v>
      </x:c>
      <x:c r="F37" s="53" t="str">
        <x:v>Clinique avec Nicolas</x:v>
      </x:c>
      <x:c r="G37" s="53" t="str">
        <x:v>Axe absences au travail — inventaire complet; Catalogue §6; Pont — faisceau médical</x:v>
      </x:c>
      <x:c r="H37" s="53" t="str">
        <x:v>explicitement listée</x:v>
      </x:c>
      <x:c r="I37" s="53" t="str"/>
    </x:row>
    <x:row r="38">
      <x:c r="A38" s="55" t="str">
        <x:v>34</x:v>
      </x:c>
      <x:c r="B38" s="53" t="str">
        <x:v>Email id=28</x:v>
      </x:c>
      <x:c r="C38" s="53" t="str"/>
      <x:c r="D38" s="55" t="str">
        <x:v>2014-12-16</x:v>
      </x:c>
      <x:c r="E38" s="53" t="str">
        <x:v>Courriel professionnel BNC</x:v>
      </x:c>
      <x:c r="F38" s="53" t="str">
        <x:v>Manque un CMOC et un dîner d’équipe; soins à Nicolas</x:v>
      </x:c>
      <x:c r="G38" s="53" t="str">
        <x:v>Axe absences au travail — inventaire complet; Catalogue §6; Pont — faisceau médical</x:v>
      </x:c>
      <x:c r="H38" s="53" t="str">
        <x:v>explicitement listée</x:v>
      </x:c>
      <x:c r="I38" s="53" t="str"/>
    </x:row>
    <x:row r="39">
      <x:c r="A39" s="55" t="str">
        <x:v>35</x:v>
      </x:c>
      <x:c r="B39" s="53" t="str">
        <x:v>Email id=27</x:v>
      </x:c>
      <x:c r="C39" s="53" t="str"/>
      <x:c r="D39" s="55" t="str">
        <x:v>2014-12-19</x:v>
      </x:c>
      <x:c r="E39" s="53" t="str">
        <x:v>Courriel professionnel BNC</x:v>
      </x:c>
      <x:c r="F39" s="53" t="str">
        <x:v>Soins à un enfant malade et relais éventuel par Élise</x:v>
      </x:c>
      <x:c r="G39" s="53" t="str">
        <x:v>Axe absences au travail — inventaire complet; Catalogue §6; Pont — faisceau médical</x:v>
      </x:c>
      <x:c r="H39" s="53" t="str">
        <x:v>explicitement listée</x:v>
      </x:c>
      <x:c r="I39" s="53" t="str">
        <x:v>P-329 porte la même date et un passage partiellement concordant, mais une synthèse antérieure signalait une différence; non fusionné.</x:v>
      </x:c>
    </x:row>
    <x:row r="40">
      <x:c r="A40" s="55" t="str">
        <x:v>36</x:v>
      </x:c>
      <x:c r="B40" s="53" t="str">
        <x:v>Email id=21</x:v>
      </x:c>
      <x:c r="C40" s="53" t="str"/>
      <x:c r="D40" s="55" t="str">
        <x:v>2015-08-03</x:v>
      </x:c>
      <x:c r="E40" s="53" t="str">
        <x:v>Courriel professionnel BNC</x:v>
      </x:c>
      <x:c r="F40" s="53" t="str">
        <x:v>Reste à domicile avec Nicolas malade</x:v>
      </x:c>
      <x:c r="G40" s="53" t="str">
        <x:v>Axe absences au travail — inventaire complet; Catalogue §6; Pont — faisceau médical</x:v>
      </x:c>
      <x:c r="H40" s="53" t="str">
        <x:v>explicitement listée</x:v>
      </x:c>
      <x:c r="I40" s="53" t="str"/>
    </x:row>
    <x:row r="41">
      <x:c r="A41" s="55" t="str">
        <x:v>37</x:v>
      </x:c>
      <x:c r="B41" s="53" t="str">
        <x:v>Email id=15</x:v>
      </x:c>
      <x:c r="C41" s="53" t="str"/>
      <x:c r="D41" s="55" t="str">
        <x:v>2016-02-10</x:v>
      </x:c>
      <x:c r="E41" s="53" t="str">
        <x:v>Courriel professionnel BNC</x:v>
      </x:c>
      <x:c r="F41" s="53" t="str">
        <x:v>Prévoit rester à domicile avec Nicolas</x:v>
      </x:c>
      <x:c r="G41" s="53" t="str">
        <x:v>Axe absences au travail — inventaire complet; Catalogue §6; Pont — faisceau médical</x:v>
      </x:c>
      <x:c r="H41" s="53" t="str">
        <x:v>explicitement listée</x:v>
      </x:c>
      <x:c r="I41" s="53" t="str"/>
    </x:row>
    <x:row r="42">
      <x:c r="A42" s="55" t="str">
        <x:v>38</x:v>
      </x:c>
      <x:c r="B42" s="53" t="str">
        <x:v>P-64</x:v>
      </x:c>
      <x:c r="C42" s="53" t="str"/>
      <x:c r="D42" s="55" t="str">
        <x:v>2011-05-02</x:v>
      </x:c>
      <x:c r="E42" s="53" t="str">
        <x:v>Cote P d’un courriel professionnel BNC</x:v>
      </x:c>
      <x:c r="F42" s="53" t="str">
        <x:v>Soins médicaux, maladie ou conséquence professionnelle selon l’argumentaire</x:v>
      </x:c>
      <x:c r="G42" s="53" t="str">
        <x:v>Argument — tableau soins médicaux; Relation/Synthèse</x:v>
      </x:c>
      <x:c r="H42" s="53" t="str">
        <x:v>explicitement listée</x:v>
      </x:c>
      <x:c r="I42" s="53" t="str">
        <x:v>Correspondance avec un Email id vraisemblable selon date/extrait, mais non fusionnée faute d’équivalence formellement confirmée.</x:v>
      </x:c>
    </x:row>
    <x:row r="43">
      <x:c r="A43" s="55" t="str">
        <x:v>39</x:v>
      </x:c>
      <x:c r="B43" s="53" t="str">
        <x:v>P-72</x:v>
      </x:c>
      <x:c r="C43" s="53" t="str"/>
      <x:c r="D43" s="55" t="str">
        <x:v>2011-05-25</x:v>
      </x:c>
      <x:c r="E43" s="53" t="str">
        <x:v>Cote P d’un courriel professionnel BNC</x:v>
      </x:c>
      <x:c r="F43" s="53" t="str">
        <x:v>Soins médicaux, maladie ou conséquence professionnelle selon l’argumentaire</x:v>
      </x:c>
      <x:c r="G43" s="53" t="str">
        <x:v>Argument — tableau soins médicaux; Relation/Synthèse</x:v>
      </x:c>
      <x:c r="H43" s="53" t="str">
        <x:v>explicitement listée</x:v>
      </x:c>
      <x:c r="I43" s="53" t="str">
        <x:v>Correspondance avec un Email id vraisemblable selon date/extrait, mais non fusionnée faute d’équivalence formellement confirmée.</x:v>
      </x:c>
    </x:row>
    <x:row r="44">
      <x:c r="A44" s="55" t="str">
        <x:v>40</x:v>
      </x:c>
      <x:c r="B44" s="53" t="str">
        <x:v>P-117</x:v>
      </x:c>
      <x:c r="C44" s="53" t="str"/>
      <x:c r="D44" s="55" t="str">
        <x:v>2011-08-29</x:v>
      </x:c>
      <x:c r="E44" s="53" t="str">
        <x:v>Cote P d’un courriel professionnel BNC</x:v>
      </x:c>
      <x:c r="F44" s="53" t="str">
        <x:v>Soins médicaux, maladie ou conséquence professionnelle selon l’argumentaire</x:v>
      </x:c>
      <x:c r="G44" s="53" t="str">
        <x:v>Argument — tableau soins médicaux; Relation/Synthèse</x:v>
      </x:c>
      <x:c r="H44" s="53" t="str">
        <x:v>explicitement listée</x:v>
      </x:c>
      <x:c r="I44" s="53" t="str">
        <x:v>Correspondance avec un Email id vraisemblable selon date/extrait, mais non fusionnée faute d’équivalence formellement confirmée.</x:v>
      </x:c>
    </x:row>
    <x:row r="45">
      <x:c r="A45" s="55" t="str">
        <x:v>41</x:v>
      </x:c>
      <x:c r="B45" s="53" t="str">
        <x:v>P-120</x:v>
      </x:c>
      <x:c r="C45" s="53" t="str"/>
      <x:c r="D45" s="55" t="str">
        <x:v>2011-09-06</x:v>
      </x:c>
      <x:c r="E45" s="53" t="str">
        <x:v>Cote P d’un courriel professionnel BNC</x:v>
      </x:c>
      <x:c r="F45" s="53" t="str">
        <x:v>Soins médicaux, maladie ou conséquence professionnelle selon l’argumentaire</x:v>
      </x:c>
      <x:c r="G45" s="53" t="str">
        <x:v>Argument — tableau soins médicaux; Relation/Synthèse</x:v>
      </x:c>
      <x:c r="H45" s="53" t="str">
        <x:v>explicitement listée</x:v>
      </x:c>
      <x:c r="I45" s="53" t="str">
        <x:v>Correspondance avec un Email id vraisemblable selon date/extrait, mais non fusionnée faute d’équivalence formellement confirmée.</x:v>
      </x:c>
    </x:row>
    <x:row r="46">
      <x:c r="A46" s="55" t="str">
        <x:v>42</x:v>
      </x:c>
      <x:c r="B46" s="53" t="str">
        <x:v>P-156</x:v>
      </x:c>
      <x:c r="C46" s="53" t="str"/>
      <x:c r="D46" s="55" t="str">
        <x:v>2011-12-12</x:v>
      </x:c>
      <x:c r="E46" s="53" t="str">
        <x:v>Cote P d’un courriel professionnel BNC</x:v>
      </x:c>
      <x:c r="F46" s="53" t="str">
        <x:v>Soins médicaux, maladie ou conséquence professionnelle selon l’argumentaire</x:v>
      </x:c>
      <x:c r="G46" s="53" t="str">
        <x:v>Argument — tableau soins médicaux; Relation/Synthèse</x:v>
      </x:c>
      <x:c r="H46" s="53" t="str">
        <x:v>explicitement listée</x:v>
      </x:c>
      <x:c r="I46" s="53" t="str">
        <x:v>Correspondance avec un Email id vraisemblable selon date/extrait, mais non fusionnée faute d’équivalence formellement confirmée.</x:v>
      </x:c>
    </x:row>
    <x:row r="47">
      <x:c r="A47" s="55" t="str">
        <x:v>43</x:v>
      </x:c>
      <x:c r="B47" s="53" t="str">
        <x:v>P-157</x:v>
      </x:c>
      <x:c r="C47" s="53" t="str"/>
      <x:c r="D47" s="55" t="str">
        <x:v>2011-12-16</x:v>
      </x:c>
      <x:c r="E47" s="53" t="str">
        <x:v>Cote P d’un courriel professionnel BNC</x:v>
      </x:c>
      <x:c r="F47" s="53" t="str">
        <x:v>Soins médicaux, maladie ou conséquence professionnelle selon l’argumentaire</x:v>
      </x:c>
      <x:c r="G47" s="53" t="str">
        <x:v>Argument — tableau soins médicaux; Relation/Synthèse</x:v>
      </x:c>
      <x:c r="H47" s="53" t="str">
        <x:v>explicitement listée</x:v>
      </x:c>
      <x:c r="I47" s="53" t="str">
        <x:v>Correspondance avec un Email id vraisemblable selon date/extrait, mais non fusionnée faute d’équivalence formellement confirmée.</x:v>
      </x:c>
    </x:row>
    <x:row r="48">
      <x:c r="A48" s="55" t="str">
        <x:v>44</x:v>
      </x:c>
      <x:c r="B48" s="53" t="str">
        <x:v>P-204</x:v>
      </x:c>
      <x:c r="C48" s="53" t="str"/>
      <x:c r="D48" s="55" t="str">
        <x:v>2012-05-22</x:v>
      </x:c>
      <x:c r="E48" s="53" t="str">
        <x:v>Cote P d’un courriel professionnel BNC</x:v>
      </x:c>
      <x:c r="F48" s="53" t="str">
        <x:v>Soins médicaux, maladie ou conséquence professionnelle selon l’argumentaire</x:v>
      </x:c>
      <x:c r="G48" s="53" t="str">
        <x:v>Argument — tableau soins médicaux; Relation/Synthèse</x:v>
      </x:c>
      <x:c r="H48" s="53" t="str">
        <x:v>explicitement listée</x:v>
      </x:c>
      <x:c r="I48" s="53" t="str">
        <x:v>Correspondance avec un Email id vraisemblable selon date/extrait, mais non fusionnée faute d’équivalence formellement confirmée.</x:v>
      </x:c>
    </x:row>
    <x:row r="49">
      <x:c r="A49" s="55" t="str">
        <x:v>45</x:v>
      </x:c>
      <x:c r="B49" s="53" t="str">
        <x:v>P-210</x:v>
      </x:c>
      <x:c r="C49" s="53" t="str"/>
      <x:c r="D49" s="55" t="str">
        <x:v>2012-07-04</x:v>
      </x:c>
      <x:c r="E49" s="53" t="str">
        <x:v>Cote P d’un courriel professionnel BNC</x:v>
      </x:c>
      <x:c r="F49" s="53" t="str">
        <x:v>Soins médicaux, maladie ou conséquence professionnelle selon l’argumentaire</x:v>
      </x:c>
      <x:c r="G49" s="53" t="str">
        <x:v>Argument — tableau soins médicaux; Relation/Synthèse</x:v>
      </x:c>
      <x:c r="H49" s="53" t="str">
        <x:v>explicitement listée</x:v>
      </x:c>
      <x:c r="I49" s="53" t="str">
        <x:v>Correspondance avec un Email id vraisemblable selon date/extrait, mais non fusionnée faute d’équivalence formellement confirmée.</x:v>
      </x:c>
    </x:row>
    <x:row r="50">
      <x:c r="A50" s="55" t="str">
        <x:v>46</x:v>
      </x:c>
      <x:c r="B50" s="53" t="str">
        <x:v>P-215</x:v>
      </x:c>
      <x:c r="C50" s="53" t="str"/>
      <x:c r="D50" s="55" t="str">
        <x:v>2012-09-10</x:v>
      </x:c>
      <x:c r="E50" s="53" t="str">
        <x:v>Cote P d’un courriel professionnel BNC</x:v>
      </x:c>
      <x:c r="F50" s="53" t="str">
        <x:v>Soins médicaux, maladie ou conséquence professionnelle selon l’argumentaire</x:v>
      </x:c>
      <x:c r="G50" s="53" t="str">
        <x:v>Argument — tableau soins médicaux; Relation/Synthèse</x:v>
      </x:c>
      <x:c r="H50" s="53" t="str">
        <x:v>explicitement listée</x:v>
      </x:c>
      <x:c r="I50" s="53" t="str">
        <x:v>Correspondance avec un Email id vraisemblable selon date/extrait, mais non fusionnée faute d’équivalence formellement confirmée.</x:v>
      </x:c>
    </x:row>
    <x:row r="51">
      <x:c r="A51" s="55" t="str">
        <x:v>47</x:v>
      </x:c>
      <x:c r="B51" s="53" t="str">
        <x:v>P-225</x:v>
      </x:c>
      <x:c r="C51" s="53" t="str"/>
      <x:c r="D51" s="55" t="str">
        <x:v>2013-02-08</x:v>
      </x:c>
      <x:c r="E51" s="53" t="str">
        <x:v>Cote P d’un courriel professionnel BNC</x:v>
      </x:c>
      <x:c r="F51" s="53" t="str">
        <x:v>Soins médicaux, maladie ou conséquence professionnelle selon l’argumentaire</x:v>
      </x:c>
      <x:c r="G51" s="53" t="str">
        <x:v>Argument — tableau soins médicaux; Relation/Synthèse</x:v>
      </x:c>
      <x:c r="H51" s="53" t="str">
        <x:v>explicitement listée</x:v>
      </x:c>
      <x:c r="I51" s="53" t="str">
        <x:v>Correspondance avec un Email id vraisemblable selon date/extrait, mais non fusionnée faute d’équivalence formellement confirmée.</x:v>
      </x:c>
    </x:row>
    <x:row r="52">
      <x:c r="A52" s="55" t="str">
        <x:v>48</x:v>
      </x:c>
      <x:c r="B52" s="53" t="str">
        <x:v>P-240</x:v>
      </x:c>
      <x:c r="C52" s="53" t="str"/>
      <x:c r="D52" s="55" t="str">
        <x:v>2013-06-03</x:v>
      </x:c>
      <x:c r="E52" s="53" t="str">
        <x:v>Cote P d’un courriel professionnel BNC</x:v>
      </x:c>
      <x:c r="F52" s="53" t="str">
        <x:v>Soins médicaux, maladie ou conséquence professionnelle selon l’argumentaire</x:v>
      </x:c>
      <x:c r="G52" s="53" t="str">
        <x:v>Argument — tableau soins médicaux; Relation/Synthèse</x:v>
      </x:c>
      <x:c r="H52" s="53" t="str">
        <x:v>explicitement listée</x:v>
      </x:c>
      <x:c r="I52" s="53" t="str">
        <x:v>Correspondance avec un Email id vraisemblable selon date/extrait, mais non fusionnée faute d’équivalence formellement confirmée.</x:v>
      </x:c>
    </x:row>
    <x:row r="53">
      <x:c r="A53" s="55" t="str">
        <x:v>49</x:v>
      </x:c>
      <x:c r="B53" s="53" t="str">
        <x:v>P-312</x:v>
      </x:c>
      <x:c r="C53" s="53" t="str"/>
      <x:c r="D53" s="55" t="str">
        <x:v>2014-05-05</x:v>
      </x:c>
      <x:c r="E53" s="53" t="str">
        <x:v>Cote P d’un courriel professionnel BNC</x:v>
      </x:c>
      <x:c r="F53" s="53" t="str">
        <x:v>Soins médicaux, maladie ou conséquence professionnelle selon l’argumentaire</x:v>
      </x:c>
      <x:c r="G53" s="53" t="str">
        <x:v>Argument — tableau soins médicaux; Relation/Synthèse</x:v>
      </x:c>
      <x:c r="H53" s="53" t="str">
        <x:v>explicitement listée</x:v>
      </x:c>
      <x:c r="I53" s="53" t="str">
        <x:v>Correspondance avec un Email id vraisemblable selon date/extrait, mais non fusionnée faute d’équivalence formellement confirmée.</x:v>
      </x:c>
    </x:row>
    <x:row r="54">
      <x:c r="A54" s="55" t="str">
        <x:v>50</x:v>
      </x:c>
      <x:c r="B54" s="53" t="str">
        <x:v>P-328</x:v>
      </x:c>
      <x:c r="C54" s="53" t="str"/>
      <x:c r="D54" s="55" t="str">
        <x:v>2014-12-16</x:v>
      </x:c>
      <x:c r="E54" s="53" t="str">
        <x:v>Cote P d’un courriel professionnel BNC</x:v>
      </x:c>
      <x:c r="F54" s="53" t="str">
        <x:v>Soins médicaux, maladie ou conséquence professionnelle selon l’argumentaire</x:v>
      </x:c>
      <x:c r="G54" s="53" t="str">
        <x:v>Argument — tableau soins médicaux; Relation/Synthèse</x:v>
      </x:c>
      <x:c r="H54" s="53" t="str">
        <x:v>explicitement listée</x:v>
      </x:c>
      <x:c r="I54" s="53" t="str">
        <x:v>Correspondance avec un Email id vraisemblable selon date/extrait, mais non fusionnée faute d’équivalence formellement confirmée.</x:v>
      </x:c>
    </x:row>
    <x:row r="55">
      <x:c r="A55" s="55" t="str">
        <x:v>51</x:v>
      </x:c>
      <x:c r="B55" s="53" t="str">
        <x:v>P-329</x:v>
      </x:c>
      <x:c r="C55" s="53" t="str"/>
      <x:c r="D55" s="55" t="str">
        <x:v>2014-12-19</x:v>
      </x:c>
      <x:c r="E55" s="53" t="str">
        <x:v>Cote P d’un courriel professionnel BNC</x:v>
      </x:c>
      <x:c r="F55" s="53" t="str">
        <x:v>Soins médicaux, maladie ou conséquence professionnelle selon l’argumentaire</x:v>
      </x:c>
      <x:c r="G55" s="53" t="str">
        <x:v>Argument — tableau soins médicaux; Relation/Synthèse</x:v>
      </x:c>
      <x:c r="H55" s="53" t="str">
        <x:v>explicitement listée</x:v>
      </x:c>
      <x:c r="I55" s="53" t="str">
        <x:v>Correspondance avec un Email id vraisemblable selon date/extrait, mais non fusionnée faute d’équivalence formellement confirmée.</x:v>
      </x:c>
    </x:row>
    <x:row r="56">
      <x:c r="A56" s="55" t="str">
        <x:v>52</x:v>
      </x:c>
      <x:c r="B56" s="53" t="str">
        <x:v>P-354</x:v>
      </x:c>
      <x:c r="C56" s="53" t="str"/>
      <x:c r="D56" s="55" t="str">
        <x:v>2015-08-03</x:v>
      </x:c>
      <x:c r="E56" s="53" t="str">
        <x:v>Cote P d’un courriel professionnel BNC</x:v>
      </x:c>
      <x:c r="F56" s="53" t="str">
        <x:v>Soins médicaux, maladie ou conséquence professionnelle selon l’argumentaire</x:v>
      </x:c>
      <x:c r="G56" s="53" t="str">
        <x:v>Argument — tableau soins médicaux; Relation/Synthèse</x:v>
      </x:c>
      <x:c r="H56" s="53" t="str">
        <x:v>explicitement listée</x:v>
      </x:c>
      <x:c r="I56" s="53" t="str">
        <x:v>Correspondance avec un Email id vraisemblable selon date/extrait, mais non fusionnée faute d’équivalence formellement confirmée.</x:v>
      </x:c>
    </x:row>
    <x:row r="57">
      <x:c r="A57" s="55" t="str">
        <x:v>53</x:v>
      </x:c>
      <x:c r="B57" s="53" t="str">
        <x:v>PhotoDocument id=4</x:v>
      </x:c>
      <x:c r="C57" s="53" t="str"/>
      <x:c r="D57" s="55" t="str">
        <x:v>2025-2026 (exemplaire)</x:v>
      </x:c>
      <x:c r="E57" s="53" t="str">
        <x:v>Capture/calendrier public</x:v>
      </x:c>
      <x:c r="F57" s="53" t="str">
        <x:v>Structure annuelle illustrée des sessions de danse</x:v>
      </x:c>
      <x:c r="G57" s="53" t="str">
        <x:v>Axe agenda de danse — inventaire complet et mentions dans le corps; Catalogue §6-D</x:v>
      </x:c>
      <x:c r="H57" s="53" t="str">
        <x:v>explicitement listée</x:v>
      </x:c>
      <x:c r="I57" s="53" t="str">
        <x:v>Document tardif et illustratif; hors période litigieuse.</x:v>
      </x:c>
    </x:row>
    <x:row r="58">
      <x:c r="A58" s="55" t="str">
        <x:v>54</x:v>
      </x:c>
      <x:c r="B58" s="53" t="str">
        <x:v>PhotoDocument id=15</x:v>
      </x:c>
      <x:c r="C58" s="53" t="str"/>
      <x:c r="D58" s="55" t="str">
        <x:v>date non précisée</x:v>
      </x:c>
      <x:c r="E58" s="53" t="str">
        <x:v>Capture du site de l’école</x:v>
      </x:c>
      <x:c r="F58" s="53" t="str">
        <x:v>Adresse de l’école de danse</x:v>
      </x:c>
      <x:c r="G58" s="53" t="str">
        <x:v>Axe agenda de danse — inventaire complet et mentions dans le corps; Catalogue §6-D</x:v>
      </x:c>
      <x:c r="H58" s="53" t="str">
        <x:v>explicitement listée</x:v>
      </x:c>
      <x:c r="I58" s="53" t="str">
        <x:v>Contexte seulement; authenticité et pertinence à établir.</x:v>
      </x:c>
    </x:row>
    <x:row r="59">
      <x:c r="A59" s="55" t="str">
        <x:v>55</x:v>
      </x:c>
      <x:c r="B59" s="53" t="str">
        <x:v>Event id=19</x:v>
      </x:c>
      <x:c r="C59" s="53" t="str"/>
      <x:c r="D59" s="55" t="str">
        <x:v>2010-06-13</x:v>
      </x:c>
      <x:c r="E59" s="53" t="str">
        <x:v>Événement/photographies</x:v>
      </x:c>
      <x:c r="F59" s="53" t="str">
        <x:v>Spectacle de danse d’Élise</x:v>
      </x:c>
      <x:c r="G59" s="53" t="str">
        <x:v>Axe agenda de danse — inventaire complet et mentions dans le corps; Catalogue §6-D</x:v>
      </x:c>
      <x:c r="H59" s="53" t="str">
        <x:v>explicitement listée</x:v>
      </x:c>
      <x:c r="I59" s="53" t="str"/>
    </x:row>
    <x:row r="60">
      <x:c r="A60" s="55" t="str">
        <x:v>56</x:v>
      </x:c>
      <x:c r="B60" s="53" t="str">
        <x:v>Email id=81</x:v>
      </x:c>
      <x:c r="C60" s="53" t="str"/>
      <x:c r="D60" s="55" t="str">
        <x:v>2010-12-07</x:v>
      </x:c>
      <x:c r="E60" s="53" t="str">
        <x:v>Courriel familial</x:v>
      </x:c>
      <x:c r="F60" s="53" t="str">
        <x:v>Visite souhaitée lorsque Élise est à la danse</x:v>
      </x:c>
      <x:c r="G60" s="53" t="str">
        <x:v>Axe agenda de danse — inventaire complet et mentions dans le corps; Catalogue §6-D</x:v>
      </x:c>
      <x:c r="H60" s="53" t="str">
        <x:v>explicitement listée</x:v>
      </x:c>
      <x:c r="I60" s="53" t="str"/>
    </x:row>
    <x:row r="61">
      <x:c r="A61" s="55" t="str">
        <x:v>57</x:v>
      </x:c>
      <x:c r="B61" s="53" t="str">
        <x:v>Email id=80</x:v>
      </x:c>
      <x:c r="C61" s="53" t="str"/>
      <x:c r="D61" s="55" t="str">
        <x:v>2010-12-09</x:v>
      </x:c>
      <x:c r="E61" s="53" t="str">
        <x:v>Courriel familial</x:v>
      </x:c>
      <x:c r="F61" s="53" t="str">
        <x:v>Confirmation de la visite de la veille</x:v>
      </x:c>
      <x:c r="G61" s="53" t="str">
        <x:v>Axe agenda de danse — inventaire complet et mentions dans le corps; Catalogue §6-D</x:v>
      </x:c>
      <x:c r="H61" s="53" t="str">
        <x:v>explicitement listée</x:v>
      </x:c>
      <x:c r="I61" s="53" t="str"/>
    </x:row>
    <x:row r="62">
      <x:c r="A62" s="55" t="str">
        <x:v>58</x:v>
      </x:c>
      <x:c r="B62" s="53" t="str">
        <x:v>Email id=100</x:v>
      </x:c>
      <x:c r="C62" s="53" t="str"/>
      <x:c r="D62" s="55" t="str">
        <x:v>2010-12-09</x:v>
      </x:c>
      <x:c r="E62" s="53" t="str">
        <x:v>Courriel familial</x:v>
      </x:c>
      <x:c r="F62" s="53" t="str">
        <x:v>Horaire de danse les mardis et mercredis</x:v>
      </x:c>
      <x:c r="G62" s="53" t="str">
        <x:v>Axe agenda de danse — inventaire complet et mentions dans le corps; Catalogue §6-D</x:v>
      </x:c>
      <x:c r="H62" s="53" t="str">
        <x:v>explicitement listée</x:v>
      </x:c>
      <x:c r="I62" s="53" t="str">
        <x:v>Alias possible P-22 établi par extrait, mais conservé séparément de la cote.</x:v>
      </x:c>
    </x:row>
    <x:row r="63">
      <x:c r="A63" s="55" t="str">
        <x:v>59</x:v>
      </x:c>
      <x:c r="B63" s="53" t="str">
        <x:v>Event id=46</x:v>
      </x:c>
      <x:c r="C63" s="53" t="str"/>
      <x:c r="D63" s="55" t="str">
        <x:v>2011-02-09</x:v>
      </x:c>
      <x:c r="E63" s="53" t="str">
        <x:v>Événement/photographies</x:v>
      </x:c>
      <x:c r="F63" s="53" t="str">
        <x:v>Routine du soir d’Alexia pendant le cours de danse</x:v>
      </x:c>
      <x:c r="G63" s="53" t="str">
        <x:v>Axe agenda de danse — inventaire complet et mentions dans le corps; Catalogue §6-D</x:v>
      </x:c>
      <x:c r="H63" s="53" t="str">
        <x:v>explicitement listée</x:v>
      </x:c>
      <x:c r="I63" s="53" t="str"/>
    </x:row>
    <x:row r="64">
      <x:c r="A64" s="55" t="str">
        <x:v>60</x:v>
      </x:c>
      <x:c r="B64" s="53" t="str">
        <x:v>Event id=52</x:v>
      </x:c>
      <x:c r="C64" s="53" t="str"/>
      <x:c r="D64" s="55" t="str">
        <x:v>2011-02-16</x:v>
      </x:c>
      <x:c r="E64" s="53" t="str">
        <x:v>Événement/photographies</x:v>
      </x:c>
      <x:c r="F64" s="53" t="str">
        <x:v>Répétition de la routine du soir pendant le cours de danse</x:v>
      </x:c>
      <x:c r="G64" s="53" t="str">
        <x:v>Axe agenda de danse — inventaire complet et mentions dans le corps; Catalogue §6-D</x:v>
      </x:c>
      <x:c r="H64" s="53" t="str">
        <x:v>explicitement listée</x:v>
      </x:c>
      <x:c r="I64" s="53" t="str"/>
    </x:row>
    <x:row r="65">
      <x:c r="A65" s="55" t="str">
        <x:v>61</x:v>
      </x:c>
      <x:c r="B65" s="53" t="str">
        <x:v>Email id=67</x:v>
      </x:c>
      <x:c r="C65" s="53" t="str"/>
      <x:c r="D65" s="55" t="str">
        <x:v>2011-03-07</x:v>
      </x:c>
      <x:c r="E65" s="53" t="str">
        <x:v>Courriel familial</x:v>
      </x:c>
      <x:c r="F65" s="53" t="str">
        <x:v>Coordination de visite en fonction de la présence d’Élise</x:v>
      </x:c>
      <x:c r="G65" s="53" t="str">
        <x:v>Axe agenda de danse — inventaire complet et mentions dans le corps; Catalogue §6-D</x:v>
      </x:c>
      <x:c r="H65" s="53" t="str">
        <x:v>explicitement listée</x:v>
      </x:c>
      <x:c r="I65" s="53" t="str"/>
    </x:row>
    <x:row r="66">
      <x:c r="A66" s="55" t="str">
        <x:v>62</x:v>
      </x:c>
      <x:c r="B66" s="53" t="str">
        <x:v>Email id=114</x:v>
      </x:c>
      <x:c r="C66" s="53" t="str"/>
      <x:c r="D66" s="55" t="str">
        <x:v>2011-03-08</x:v>
      </x:c>
      <x:c r="E66" s="53" t="str">
        <x:v>Courriel familial</x:v>
      </x:c>
      <x:c r="F66" s="53" t="str">
        <x:v>Danse de 19 h à 22 h</x:v>
      </x:c>
      <x:c r="G66" s="53" t="str">
        <x:v>Axe agenda de danse — inventaire complet et mentions dans le corps; Catalogue §6-D</x:v>
      </x:c>
      <x:c r="H66" s="53" t="str">
        <x:v>explicitement listée</x:v>
      </x:c>
      <x:c r="I66" s="53" t="str">
        <x:v>Alias possible P-48 établi par extrait, mais conservé séparément de la cote.</x:v>
      </x:c>
    </x:row>
    <x:row r="67">
      <x:c r="A67" s="55" t="str">
        <x:v>63</x:v>
      </x:c>
      <x:c r="B67" s="53" t="str">
        <x:v>Email id=66</x:v>
      </x:c>
      <x:c r="C67" s="53" t="str"/>
      <x:c r="D67" s="55" t="str">
        <x:v>2011-03-15</x:v>
      </x:c>
      <x:c r="E67" s="53" t="str">
        <x:v>Courriel familial</x:v>
      </x:c>
      <x:c r="F67" s="53" t="str">
        <x:v>Coordination autour du bain d’Alexia</x:v>
      </x:c>
      <x:c r="G67" s="53" t="str">
        <x:v>Axe agenda de danse — inventaire complet et mentions dans le corps; Catalogue §6-D</x:v>
      </x:c>
      <x:c r="H67" s="53" t="str">
        <x:v>explicitement listée</x:v>
      </x:c>
      <x:c r="I67" s="53" t="str">
        <x:v>Alias possible P-49 établi par extrait, mais conservé séparément de la cote.</x:v>
      </x:c>
    </x:row>
    <x:row r="68">
      <x:c r="A68" s="55" t="str">
        <x:v>64</x:v>
      </x:c>
      <x:c r="B68" s="53" t="str">
        <x:v>Email id=116</x:v>
      </x:c>
      <x:c r="C68" s="53" t="str"/>
      <x:c r="D68" s="55" t="str">
        <x:v>2011-03-15</x:v>
      </x:c>
      <x:c r="E68" s="53" t="str">
        <x:v>Courriel familial</x:v>
      </x:c>
      <x:c r="F68" s="53" t="str">
        <x:v>Exception: premier cours de danse non suivi ce soir-là</x:v>
      </x:c>
      <x:c r="G68" s="53" t="str">
        <x:v>Axe agenda de danse — inventaire complet et mentions dans le corps; Catalogue §6-D</x:v>
      </x:c>
      <x:c r="H68" s="53" t="str">
        <x:v>explicitement listée</x:v>
      </x:c>
      <x:c r="I68" s="53" t="str"/>
    </x:row>
    <x:row r="69">
      <x:c r="A69" s="55" t="str">
        <x:v>65</x:v>
      </x:c>
      <x:c r="B69" s="53" t="str">
        <x:v>Email id=115</x:v>
      </x:c>
      <x:c r="C69" s="53" t="str"/>
      <x:c r="D69" s="55" t="str">
        <x:v>2011-03-15</x:v>
      </x:c>
      <x:c r="E69" s="53" t="str">
        <x:v>Courriel familial</x:v>
      </x:c>
      <x:c r="F69" s="53" t="str">
        <x:v>Report de visite au lendemain</x:v>
      </x:c>
      <x:c r="G69" s="53" t="str">
        <x:v>Axe agenda de danse — inventaire complet et mentions dans le corps; Catalogue §6-D</x:v>
      </x:c>
      <x:c r="H69" s="53" t="str">
        <x:v>explicitement listée</x:v>
      </x:c>
      <x:c r="I69" s="53" t="str"/>
    </x:row>
    <x:row r="70">
      <x:c r="A70" s="55" t="str">
        <x:v>66</x:v>
      </x:c>
      <x:c r="B70" s="53" t="str">
        <x:v>Event id=78</x:v>
      </x:c>
      <x:c r="C70" s="53" t="str"/>
      <x:c r="D70" s="55" t="str">
        <x:v>2011-06-19</x:v>
      </x:c>
      <x:c r="E70" s="53" t="str">
        <x:v>Événement/photographies</x:v>
      </x:c>
      <x:c r="F70" s="53" t="str">
        <x:v>Trois chorégraphies et fréquence de cours pour la session</x:v>
      </x:c>
      <x:c r="G70" s="53" t="str">
        <x:v>Axe agenda de danse — inventaire complet et mentions dans le corps; Catalogue §6-D</x:v>
      </x:c>
      <x:c r="H70" s="53" t="str">
        <x:v>explicitement listée</x:v>
      </x:c>
      <x:c r="I70" s="53" t="str"/>
    </x:row>
    <x:row r="71">
      <x:c r="A71" s="55" t="str">
        <x:v>67</x:v>
      </x:c>
      <x:c r="B71" s="53" t="str">
        <x:v>Email id=347</x:v>
      </x:c>
      <x:c r="C71" s="53" t="str">
        <x:v>P-186</x:v>
      </x:c>
      <x:c r="D71" s="55" t="str">
        <x:v>2012-03-06</x:v>
      </x:c>
      <x:c r="E71" s="53" t="str">
        <x:v>Courriel entre les parties</x:v>
      </x:c>
      <x:c r="F71" s="53" t="str">
        <x:v>Retour hâtif pour prendre le relais parce qu’Élise danse</x:v>
      </x:c>
      <x:c r="G71" s="53" t="str">
        <x:v>Axe agenda de danse — inventaire complet et mentions dans le corps; Catalogue §6-D</x:v>
      </x:c>
      <x:c r="H71" s="53" t="str">
        <x:v>explicitement listée</x:v>
      </x:c>
      <x:c r="I71" s="53" t="str"/>
    </x:row>
    <x:row r="72">
      <x:c r="A72" s="55" t="str">
        <x:v>68</x:v>
      </x:c>
      <x:c r="B72" s="53" t="str">
        <x:v>Event id=224</x:v>
      </x:c>
      <x:c r="C72" s="53" t="str"/>
      <x:c r="D72" s="55" t="str">
        <x:v>2013-02-09</x:v>
      </x:c>
      <x:c r="E72" s="53" t="str">
        <x:v>Événement/photographies</x:v>
      </x:c>
      <x:c r="F72" s="53" t="str">
        <x:v>Récital de danse d’Alexia</x:v>
      </x:c>
      <x:c r="G72" s="53" t="str">
        <x:v>Axe agenda de danse — inventaire complet et mentions dans le corps; Catalogue §6-D</x:v>
      </x:c>
      <x:c r="H72" s="53" t="str">
        <x:v>explicitement listée</x:v>
      </x:c>
      <x:c r="I72" s="53" t="str"/>
    </x:row>
    <x:row r="73">
      <x:c r="A73" s="55" t="str">
        <x:v>69</x:v>
      </x:c>
      <x:c r="B73" s="53" t="str">
        <x:v>Email id=474</x:v>
      </x:c>
      <x:c r="C73" s="53" t="str"/>
      <x:c r="D73" s="55" t="str">
        <x:v>2013-05-07</x:v>
      </x:c>
      <x:c r="E73" s="53" t="str">
        <x:v>Courriel familial</x:v>
      </x:c>
      <x:c r="F73" s="53" t="str">
        <x:v>Question et confirmation d’un soir de danse</x:v>
      </x:c>
      <x:c r="G73" s="53" t="str">
        <x:v>Axe agenda de danse — inventaire complet et mentions dans le corps; Catalogue §6-D</x:v>
      </x:c>
      <x:c r="H73" s="53" t="str">
        <x:v>explicitement listée</x:v>
      </x:c>
      <x:c r="I73" s="53" t="str"/>
    </x:row>
    <x:row r="74">
      <x:c r="A74" s="55" t="str">
        <x:v>70</x:v>
      </x:c>
      <x:c r="B74" s="53" t="str">
        <x:v>Event id=274</x:v>
      </x:c>
      <x:c r="C74" s="53" t="str"/>
      <x:c r="D74" s="55" t="str">
        <x:v>2014-01-27</x:v>
      </x:c>
      <x:c r="E74" s="53" t="str">
        <x:v>Événement/photographies</x:v>
      </x:c>
      <x:c r="F74" s="53" t="str">
        <x:v>Père à domicile avec les deux enfants pendant la danse</x:v>
      </x:c>
      <x:c r="G74" s="53" t="str">
        <x:v>Axe agenda de danse — inventaire complet et mentions dans le corps; Catalogue §6-D</x:v>
      </x:c>
      <x:c r="H74" s="53" t="str">
        <x:v>explicitement listée</x:v>
      </x:c>
      <x:c r="I74" s="53" t="str"/>
    </x:row>
    <x:row r="75">
      <x:c r="A75" s="55" t="str">
        <x:v>71</x:v>
      </x:c>
      <x:c r="B75" s="53" t="str">
        <x:v>Event id=278</x:v>
      </x:c>
      <x:c r="C75" s="53" t="str"/>
      <x:c r="D75" s="55" t="str">
        <x:v>2014-03-03</x:v>
      </x:c>
      <x:c r="E75" s="53" t="str">
        <x:v>Événement/photographies</x:v>
      </x:c>
      <x:c r="F75" s="53" t="str">
        <x:v>Père à domicile avec les deux enfants pendant la danse</x:v>
      </x:c>
      <x:c r="G75" s="53" t="str">
        <x:v>Axe agenda de danse — inventaire complet et mentions dans le corps; Catalogue §6-D</x:v>
      </x:c>
      <x:c r="H75" s="53" t="str">
        <x:v>explicitement listée</x:v>
      </x:c>
      <x:c r="I75" s="53" t="str"/>
    </x:row>
    <x:row r="76">
      <x:c r="A76" s="55" t="str">
        <x:v>72</x:v>
      </x:c>
      <x:c r="B76" s="53" t="str">
        <x:v>Event id=302</x:v>
      </x:c>
      <x:c r="C76" s="53" t="str"/>
      <x:c r="D76" s="55" t="str">
        <x:v>2014-12-14</x:v>
      </x:c>
      <x:c r="E76" s="53" t="str">
        <x:v>Événement/photographies</x:v>
      </x:c>
      <x:c r="F76" s="53" t="str">
        <x:v>Récital de danse d’Alexia</x:v>
      </x:c>
      <x:c r="G76" s="53" t="str">
        <x:v>Axe agenda de danse — inventaire complet et mentions dans le corps; Catalogue §6-D</x:v>
      </x:c>
      <x:c r="H76" s="53" t="str">
        <x:v>explicitement listée</x:v>
      </x:c>
      <x:c r="I76" s="53" t="str"/>
    </x:row>
    <x:row r="77">
      <x:c r="A77" s="55" t="str">
        <x:v>73</x:v>
      </x:c>
      <x:c r="B77" s="53" t="str">
        <x:v>Email id=304</x:v>
      </x:c>
      <x:c r="C77" s="53" t="str"/>
      <x:c r="D77" s="55" t="str">
        <x:v>2016-09-16</x:v>
      </x:c>
      <x:c r="E77" s="53" t="str">
        <x:v>Courriel entre les parties</x:v>
      </x:c>
      <x:c r="F77" s="53" t="str">
        <x:v>Existence d’aides ou gardiennes</x:v>
      </x:c>
      <x:c r="G77" s="53" t="str">
        <x:v>Axe agenda de danse — inventaire complet et mentions dans le corps; Catalogue §6-D</x:v>
      </x:c>
      <x:c r="H77" s="53" t="str">
        <x:v>explicitement listée</x:v>
      </x:c>
      <x:c r="I77" s="53" t="str">
        <x:v>Postérieur aux allégations; contexte/corroboration.</x:v>
      </x:c>
    </x:row>
    <x:row r="78">
      <x:c r="A78" s="55" t="str">
        <x:v>74</x:v>
      </x:c>
      <x:c r="B78" s="53" t="str">
        <x:v>Email id=305</x:v>
      </x:c>
      <x:c r="C78" s="53" t="str"/>
      <x:c r="D78" s="55" t="str">
        <x:v>2016-09-16</x:v>
      </x:c>
      <x:c r="E78" s="53" t="str">
        <x:v>Courriel entre les parties</x:v>
      </x:c>
      <x:c r="F78" s="53" t="str">
        <x:v>Aide familiale pour natation et soirs de danse</x:v>
      </x:c>
      <x:c r="G78" s="53" t="str">
        <x:v>Axe agenda de danse — inventaire complet et mentions dans le corps; Catalogue §6-D</x:v>
      </x:c>
      <x:c r="H78" s="53" t="str">
        <x:v>explicitement listée</x:v>
      </x:c>
      <x:c r="I78" s="53" t="str">
        <x:v>Postérieur aux allégations; inférence comparative à distinguer du contenu direct.</x:v>
      </x:c>
    </x:row>
    <x:row r="79">
      <x:c r="A79" s="55" t="str">
        <x:v>75</x:v>
      </x:c>
      <x:c r="B79" s="53" t="str">
        <x:v>Email id=7</x:v>
      </x:c>
      <x:c r="C79" s="53" t="str"/>
      <x:c r="D79" s="55" t="str">
        <x:v>2016-09-16</x:v>
      </x:c>
      <x:c r="E79" s="53" t="str">
        <x:v>Courriel du défendeur</x:v>
      </x:c>
      <x:c r="F79" s="53" t="str">
        <x:v>Fréquence alléguée des cours de danse; propos sarcastiques</x:v>
      </x:c>
      <x:c r="G79" s="53" t="str">
        <x:v>Axe agenda de danse — inventaire complet et mentions dans le corps; Catalogue §6-D</x:v>
      </x:c>
      <x:c r="H79" s="53" t="str">
        <x:v>explicitement listée</x:v>
      </x:c>
      <x:c r="I79" s="53" t="str">
        <x:v>Déclaration intéressée et sarcastique; ne pas présenter comme aveu de la demanderesse.</x:v>
      </x:c>
    </x:row>
    <x:row r="80">
      <x:c r="A80" s="55" t="str">
        <x:v>76</x:v>
      </x:c>
      <x:c r="B80" s="53" t="str">
        <x:v>Email id=89</x:v>
      </x:c>
      <x:c r="C80" s="53" t="str"/>
      <x:c r="D80" s="55" t="str">
        <x:v>2010-09-13</x:v>
      </x:c>
      <x:c r="E80" s="53" t="str">
        <x:v>Courriel familial</x:v>
      </x:c>
      <x:c r="F80" s="53" t="str">
        <x:v>Organisation habituelle de garde</x:v>
      </x:c>
      <x:c r="G80" s="53" t="str">
        <x:v>Axe agenda de danse — inventaire complet et mentions dans le corps; Catalogue §6-D</x:v>
      </x:c>
      <x:c r="H80" s="53" t="str">
        <x:v>mentionnée dans le récit</x:v>
      </x:c>
      <x:c r="I80" s="53" t="str">
        <x:v>Mentionné seulement dans le tableau probant de l’axe danse.</x:v>
      </x:c>
    </x:row>
    <x:row r="81">
      <x:c r="A81" s="55" t="str">
        <x:v>77</x:v>
      </x:c>
      <x:c r="B81" s="53" t="str">
        <x:v>Email id=87</x:v>
      </x:c>
      <x:c r="C81" s="53" t="str"/>
      <x:c r="D81" s="55" t="str">
        <x:v>2010-10-12</x:v>
      </x:c>
      <x:c r="E81" s="53" t="str">
        <x:v>Courriel familial</x:v>
      </x:c>
      <x:c r="F81" s="53" t="str">
        <x:v>Demande de garde et coordination</x:v>
      </x:c>
      <x:c r="G81" s="53" t="str">
        <x:v>Axe agenda de danse — inventaire complet et mentions dans le corps; Catalogue §6-D</x:v>
      </x:c>
      <x:c r="H81" s="53" t="str">
        <x:v>mentionnée dans le récit</x:v>
      </x:c>
      <x:c r="I81" s="53" t="str">
        <x:v>Mentionné seulement dans le tableau probant de l’axe danse.</x:v>
      </x:c>
    </x:row>
    <x:row r="82">
      <x:c r="A82" s="55" t="str">
        <x:v>78</x:v>
      </x:c>
      <x:c r="B82" s="53" t="str">
        <x:v>Email id=95</x:v>
      </x:c>
      <x:c r="C82" s="53" t="str"/>
      <x:c r="D82" s="55" t="str">
        <x:v>2010-10-12</x:v>
      </x:c>
      <x:c r="E82" s="53" t="str">
        <x:v>Courriel familial</x:v>
      </x:c>
      <x:c r="F82" s="53" t="str">
        <x:v>Caractère habituel d’une garde</x:v>
      </x:c>
      <x:c r="G82" s="53" t="str">
        <x:v>Axe agenda de danse — inventaire complet et mentions dans le corps; Catalogue §6-D</x:v>
      </x:c>
      <x:c r="H82" s="53" t="str">
        <x:v>mentionnée dans le récit</x:v>
      </x:c>
      <x:c r="I82" s="53" t="str">
        <x:v>Mentionné seulement dans le tableau probant de l’axe danse.</x:v>
      </x:c>
    </x:row>
    <x:row r="83">
      <x:c r="A83" s="55" t="str">
        <x:v>79</x:v>
      </x:c>
      <x:c r="B83" s="53" t="str">
        <x:v>piece_thread-67_email-82.md</x:v>
      </x:c>
      <x:c r="C83" s="53" t="str">
        <x:v>Email id=82</x:v>
      </x:c>
      <x:c r="D83" s="55" t="str">
        <x:v>2010-12-01</x:v>
      </x:c>
      <x:c r="E83" s="53" t="str">
        <x:v>Courriel familial reproduit dans un fichier interne</x:v>
      </x:c>
      <x:c r="F83" s="53" t="str">
        <x:v>Réaction familiale dans le contexte de l’infidélité; prudence d’interprétation</x:v>
      </x:c>
      <x:c r="G83" s="53" t="str">
        <x:v>Axe agenda de danse — note et tableau des courriels</x:v>
      </x:c>
      <x:c r="H83" s="53" t="str">
        <x:v>pièce complémentaire</x:v>
      </x:c>
      <x:c r="I83" s="53" t="str">
        <x:v>Ne pas qualifier ce document de preuve d’isolement malveillant.</x:v>
      </x:c>
    </x:row>
    <x:row r="84">
      <x:c r="A84" s="55" t="str">
        <x:v>80</x:v>
      </x:c>
      <x:c r="B84" s="53" t="str">
        <x:v>P-22</x:v>
      </x:c>
      <x:c r="C84" s="53" t="str"/>
      <x:c r="D84" s="55" t="str">
        <x:v>2010-12-09</x:v>
      </x:c>
      <x:c r="E84" s="53" t="str">
        <x:v>Cote P liée à la danse</x:v>
      </x:c>
      <x:c r="F84" s="53" t="str">
        <x:v>Horaire récurrent de danse</x:v>
      </x:c>
      <x:c r="G84" s="53" t="str">
        <x:v>Argument — danse; Relation/Synthèse</x:v>
      </x:c>
      <x:c r="H84" s="53" t="str">
        <x:v>explicitement listée</x:v>
      </x:c>
      <x:c r="I84" s="53" t="str">
        <x:v>Peut correspondre à un identifiant brut de l’axe danse, mais non fusionné sans confirmation formelle.</x:v>
      </x:c>
    </x:row>
    <x:row r="85">
      <x:c r="A85" s="55" t="str">
        <x:v>81</x:v>
      </x:c>
      <x:c r="B85" s="53" t="str">
        <x:v>P-48</x:v>
      </x:c>
      <x:c r="C85" s="53" t="str"/>
      <x:c r="D85" s="55" t="str">
        <x:v>2011-03-08</x:v>
      </x:c>
      <x:c r="E85" s="53" t="str">
        <x:v>Cote P liée à la danse</x:v>
      </x:c>
      <x:c r="F85" s="53" t="str">
        <x:v>Danse de 19 h à 22 h</x:v>
      </x:c>
      <x:c r="G85" s="53" t="str">
        <x:v>Argument — danse; Relation/Synthèse</x:v>
      </x:c>
      <x:c r="H85" s="53" t="str">
        <x:v>explicitement listée</x:v>
      </x:c>
      <x:c r="I85" s="53" t="str">
        <x:v>Peut correspondre à un identifiant brut de l’axe danse, mais non fusionné sans confirmation formelle.</x:v>
      </x:c>
    </x:row>
    <x:row r="86">
      <x:c r="A86" s="55" t="str">
        <x:v>82</x:v>
      </x:c>
      <x:c r="B86" s="53" t="str">
        <x:v>P-49</x:v>
      </x:c>
      <x:c r="C86" s="53" t="str"/>
      <x:c r="D86" s="55" t="str">
        <x:v>2011-03-15</x:v>
      </x:c>
      <x:c r="E86" s="53" t="str">
        <x:v>Cote P liée à la danse</x:v>
      </x:c>
      <x:c r="F86" s="53" t="str">
        <x:v>Bain administré/coordonné par le père</x:v>
      </x:c>
      <x:c r="G86" s="53" t="str">
        <x:v>Argument — danse; Relation/Synthèse</x:v>
      </x:c>
      <x:c r="H86" s="53" t="str">
        <x:v>explicitement listée</x:v>
      </x:c>
      <x:c r="I86" s="53" t="str">
        <x:v>Peut correspondre à un identifiant brut de l’axe danse, mais non fusionné sans confirmation formelle.</x:v>
      </x:c>
    </x:row>
    <x:row r="87">
      <x:c r="A87" s="55" t="str">
        <x:v>83</x:v>
      </x:c>
      <x:c r="B87" s="53" t="str">
        <x:v>P-391</x:v>
      </x:c>
      <x:c r="C87" s="53" t="str"/>
      <x:c r="D87" s="55" t="str">
        <x:v>non précisé</x:v>
      </x:c>
      <x:c r="E87" s="53" t="str">
        <x:v>Cote P liée à la danse</x:v>
      </x:c>
      <x:c r="F87" s="53" t="str">
        <x:v>Calendrier des sessions de danse</x:v>
      </x:c>
      <x:c r="G87" s="53" t="str">
        <x:v>Argument — danse; Relation/Synthèse</x:v>
      </x:c>
      <x:c r="H87" s="53" t="str">
        <x:v>explicitement listée</x:v>
      </x:c>
      <x:c r="I87" s="53" t="str">
        <x:v>Peut correspondre à un identifiant brut de l’axe danse, mais non fusionné sans confirmation formelle.</x:v>
      </x:c>
    </x:row>
    <x:row r="88">
      <x:c r="A88" s="55" t="str">
        <x:v>84</x:v>
      </x:c>
      <x:c r="B88" s="53" t="str">
        <x:v>Email id=54</x:v>
      </x:c>
      <x:c r="C88" s="53" t="str">
        <x:v>P-148</x:v>
      </x:c>
      <x:c r="D88" s="55" t="str">
        <x:v>2011-11-24</x:v>
      </x:c>
      <x:c r="E88" s="53" t="str">
        <x:v>Courriel ou événement de coordination</x:v>
      </x:c>
      <x:c r="F88" s="53" t="str">
        <x:v>Coordination du retour de garderie</x:v>
      </x:c>
      <x:c r="G88" s="53" t="str">
        <x:v>Axe garderie/école — inventaire complet; Catalogue §6-E</x:v>
      </x:c>
      <x:c r="H88" s="53" t="str">
        <x:v>explicitement listée</x:v>
      </x:c>
      <x:c r="I88" s="53" t="str"/>
    </x:row>
    <x:row r="89">
      <x:c r="A89" s="55" t="str">
        <x:v>85</x:v>
      </x:c>
      <x:c r="B89" s="53" t="str">
        <x:v>Event id=213</x:v>
      </x:c>
      <x:c r="C89" s="53" t="str"/>
      <x:c r="D89" s="55" t="str">
        <x:v>2012-10-18</x:v>
      </x:c>
      <x:c r="E89" s="53" t="str">
        <x:v>Courriel ou événement de coordination</x:v>
      </x:c>
      <x:c r="F89" s="53" t="str">
        <x:v>Routine du matin et marche vers la maternelle</x:v>
      </x:c>
      <x:c r="G89" s="53" t="str">
        <x:v>Axe garderie/école — inventaire complet; Catalogue §6-E</x:v>
      </x:c>
      <x:c r="H89" s="53" t="str">
        <x:v>explicitement listée</x:v>
      </x:c>
      <x:c r="I89" s="53" t="str"/>
    </x:row>
    <x:row r="90">
      <x:c r="A90" s="55" t="str">
        <x:v>86</x:v>
      </x:c>
      <x:c r="B90" s="53" t="str">
        <x:v>Event id=214</x:v>
      </x:c>
      <x:c r="C90" s="53" t="str"/>
      <x:c r="D90" s="55" t="str">
        <x:v>2012-10-19</x:v>
      </x:c>
      <x:c r="E90" s="53" t="str">
        <x:v>Courriel ou événement de coordination</x:v>
      </x:c>
      <x:c r="F90" s="53" t="str">
        <x:v>Routine du matin et marche vers la maternelle</x:v>
      </x:c>
      <x:c r="G90" s="53" t="str">
        <x:v>Axe garderie/école — inventaire complet; Catalogue §6-E</x:v>
      </x:c>
      <x:c r="H90" s="53" t="str">
        <x:v>explicitement listée</x:v>
      </x:c>
      <x:c r="I90" s="53" t="str"/>
    </x:row>
    <x:row r="91">
      <x:c r="A91" s="55" t="str">
        <x:v>87</x:v>
      </x:c>
      <x:c r="B91" s="53" t="str">
        <x:v>Email id=369</x:v>
      </x:c>
      <x:c r="C91" s="53" t="str"/>
      <x:c r="D91" s="55" t="str">
        <x:v>2013-03-06</x:v>
      </x:c>
      <x:c r="E91" s="53" t="str">
        <x:v>Courriel ou événement de coordination</x:v>
      </x:c>
      <x:c r="F91" s="53" t="str">
        <x:v>Planification autour du dépôt d’Alexia</x:v>
      </x:c>
      <x:c r="G91" s="53" t="str">
        <x:v>Axe garderie/école — inventaire complet; Catalogue §6-E</x:v>
      </x:c>
      <x:c r="H91" s="53" t="str">
        <x:v>explicitement listée</x:v>
      </x:c>
      <x:c r="I91" s="53" t="str"/>
    </x:row>
    <x:row r="92">
      <x:c r="A92" s="55" t="str">
        <x:v>88</x:v>
      </x:c>
      <x:c r="B92" s="53" t="str">
        <x:v>Email id=370</x:v>
      </x:c>
      <x:c r="C92" s="53" t="str"/>
      <x:c r="D92" s="55" t="str">
        <x:v>2013-03-06</x:v>
      </x:c>
      <x:c r="E92" s="53" t="str">
        <x:v>Courriel ou événement de coordination</x:v>
      </x:c>
      <x:c r="F92" s="53" t="str">
        <x:v>Réponse confirmant une coordination logistique</x:v>
      </x:c>
      <x:c r="G92" s="53" t="str">
        <x:v>Axe garderie/école — inventaire complet; Catalogue §6-E</x:v>
      </x:c>
      <x:c r="H92" s="53" t="str">
        <x:v>explicitement listée</x:v>
      </x:c>
      <x:c r="I92" s="53" t="str"/>
    </x:row>
    <x:row r="93">
      <x:c r="A93" s="55" t="str">
        <x:v>89</x:v>
      </x:c>
      <x:c r="B93" s="53" t="str">
        <x:v>Email id=29</x:v>
      </x:c>
      <x:c r="C93" s="53" t="str"/>
      <x:c r="D93" s="55" t="str">
        <x:v>2014-09-18</x:v>
      </x:c>
      <x:c r="E93" s="53" t="str">
        <x:v>Courriel ou événement de coordination</x:v>
      </x:c>
      <x:c r="F93" s="53" t="str">
        <x:v>Retour de garderie de Nicolas</x:v>
      </x:c>
      <x:c r="G93" s="53" t="str">
        <x:v>Axe garderie/école — inventaire complet; Catalogue §6-E</x:v>
      </x:c>
      <x:c r="H93" s="53" t="str">
        <x:v>explicitement listée</x:v>
      </x:c>
      <x:c r="I93" s="53" t="str"/>
    </x:row>
    <x:row r="94">
      <x:c r="A94" s="55" t="str">
        <x:v>90</x:v>
      </x:c>
      <x:c r="B94" s="53" t="str">
        <x:v>Email id=371</x:v>
      </x:c>
      <x:c r="C94" s="53" t="str"/>
      <x:c r="D94" s="55" t="str">
        <x:v>2015-02-16</x:v>
      </x:c>
      <x:c r="E94" s="53" t="str">
        <x:v>Courriel ou événement de coordination</x:v>
      </x:c>
      <x:c r="F94" s="53" t="str">
        <x:v>Relais de la grand-mère pour le retour de garderie</x:v>
      </x:c>
      <x:c r="G94" s="53" t="str">
        <x:v>Axe garderie/école — inventaire complet; Catalogue §6-E</x:v>
      </x:c>
      <x:c r="H94" s="53" t="str">
        <x:v>explicitement listée</x:v>
      </x:c>
      <x:c r="I94" s="53" t="str"/>
    </x:row>
    <x:row r="95">
      <x:c r="A95" s="55" t="str">
        <x:v>91</x:v>
      </x:c>
      <x:c r="B95" s="53" t="str">
        <x:v>P-318</x:v>
      </x:c>
      <x:c r="C95" s="53" t="str"/>
      <x:c r="D95" s="55" t="str">
        <x:v>2014-09-18</x:v>
      </x:c>
      <x:c r="E95" s="53" t="str">
        <x:v>Cote P liée à la garderie</x:v>
      </x:c>
      <x:c r="F95" s="53" t="str">
        <x:v>Retour de garderie assuré par le père</x:v>
      </x:c>
      <x:c r="G95" s="53" t="str">
        <x:v>Argument — garderie; Relation/Synthèse</x:v>
      </x:c>
      <x:c r="H95" s="53" t="str">
        <x:v>explicitement listée</x:v>
      </x:c>
      <x:c r="I95" s="53" t="str">
        <x:v>Possibilité de correspondance avec un identifiant brut à confirmer.</x:v>
      </x:c>
    </x:row>
    <x:row r="96">
      <x:c r="A96" s="55" t="str">
        <x:v>92</x:v>
      </x:c>
      <x:c r="B96" s="53" t="str">
        <x:v>P-325</x:v>
      </x:c>
      <x:c r="C96" s="53" t="str"/>
      <x:c r="D96" s="55" t="str">
        <x:v>2014-12-03</x:v>
      </x:c>
      <x:c r="E96" s="53" t="str">
        <x:v>Cote P liée à la garderie</x:v>
      </x:c>
      <x:c r="F96" s="53" t="str">
        <x:v>Urgence de garderie et réponse du père</x:v>
      </x:c>
      <x:c r="G96" s="53" t="str">
        <x:v>Argument — garderie; Relation/Synthèse</x:v>
      </x:c>
      <x:c r="H96" s="53" t="str">
        <x:v>explicitement listée</x:v>
      </x:c>
      <x:c r="I96" s="53" t="str">
        <x:v>Possibilité de correspondance avec un identifiant brut à confirmer.</x:v>
      </x:c>
    </x:row>
    <x:row r="97">
      <x:c r="A97" s="55" t="str">
        <x:v>93</x:v>
      </x:c>
      <x:c r="B97" s="53" t="str">
        <x:v>Event id=239</x:v>
      </x:c>
      <x:c r="C97" s="53" t="str"/>
      <x:c r="D97" s="55" t="str">
        <x:v>2013-05-28</x:v>
      </x:c>
      <x:c r="E97" s="53" t="str">
        <x:v>Événement ou courriel</x:v>
      </x:c>
      <x:c r="F97" s="53" t="str">
        <x:v>Présence au soccer d’Alexia</x:v>
      </x:c>
      <x:c r="G97" s="53" t="str">
        <x:v>Axe activités des enfants; Catalogue §6-B/C; Axe présence quotidienne</x:v>
      </x:c>
      <x:c r="H97" s="53" t="str">
        <x:v>explicitement listée</x:v>
      </x:c>
      <x:c r="I97" s="53" t="str"/>
    </x:row>
    <x:row r="98">
      <x:c r="A98" s="55" t="str">
        <x:v>94</x:v>
      </x:c>
      <x:c r="B98" s="53" t="str">
        <x:v>Email id=32</x:v>
      </x:c>
      <x:c r="C98" s="53" t="str"/>
      <x:c r="D98" s="55" t="str">
        <x:v>2013-07-30</x:v>
      </x:c>
      <x:c r="E98" s="53" t="str">
        <x:v>Événement ou courriel</x:v>
      </x:c>
      <x:c r="F98" s="53" t="str">
        <x:v>Prise en charge de Nicolas dans le contexte du soccer</x:v>
      </x:c>
      <x:c r="G98" s="53" t="str">
        <x:v>Axe activités des enfants; Catalogue §6-B/C</x:v>
      </x:c>
      <x:c r="H98" s="53" t="str">
        <x:v>explicitement listée</x:v>
      </x:c>
      <x:c r="I98" s="53" t="str"/>
    </x:row>
    <x:row r="99">
      <x:c r="A99" s="55" t="str">
        <x:v>95</x:v>
      </x:c>
      <x:c r="B99" s="53" t="str">
        <x:v>Event id=263</x:v>
      </x:c>
      <x:c r="C99" s="53" t="str"/>
      <x:c r="D99" s="55" t="str">
        <x:v>2013-08-24</x:v>
      </x:c>
      <x:c r="E99" s="53" t="str">
        <x:v>Événement ou courriel</x:v>
      </x:c>
      <x:c r="F99" s="53" t="str">
        <x:v>Remise des médailles de soccer</x:v>
      </x:c>
      <x:c r="G99" s="53" t="str">
        <x:v>Axe activités des enfants; Catalogue §6-B/C; Axe présence quotidienne</x:v>
      </x:c>
      <x:c r="H99" s="53" t="str">
        <x:v>explicitement listée</x:v>
      </x:c>
      <x:c r="I99" s="53" t="str"/>
    </x:row>
    <x:row r="100">
      <x:c r="A100" s="55" t="str">
        <x:v>96</x:v>
      </x:c>
      <x:c r="B100" s="53" t="str">
        <x:v>ChatMessage id=111</x:v>
      </x:c>
      <x:c r="C100" s="53" t="str">
        <x:v>ChatMessages id=111 à 146 (liasse)</x:v>
      </x:c>
      <x:c r="D100" s="55" t="str">
        <x:v>2014-10-23</x:v>
      </x:c>
      <x:c r="E100" s="53" t="str">
        <x:v>Message de clavardage entre les parties</x:v>
      </x:c>
      <x:c r="F100" s="53" t="str">
        <x:v>Surveillance d’un prélèvement de garderie</x:v>
      </x:c>
      <x:c r="G100" s="53" t="str">
        <x:v>Axe activités des enfants — inventaire; Catalogue §6-B</x:v>
      </x:c>
      <x:c r="H100" s="53" t="str">
        <x:v>explicitement listée</x:v>
      </x:c>
      <x:c r="I100" s="53" t="str">
        <x:v>Le catalogue global cite une plage 111 à 146; seuls les identifiants individualisés dans l’axe sont inscrits comme pièces distinctes.</x:v>
      </x:c>
    </x:row>
    <x:row r="101">
      <x:c r="A101" s="55" t="str">
        <x:v>97</x:v>
      </x:c>
      <x:c r="B101" s="53" t="str">
        <x:v>ChatMessage id=126</x:v>
      </x:c>
      <x:c r="C101" s="53" t="str">
        <x:v>ChatMessages id=111 à 146 (liasse)</x:v>
      </x:c>
      <x:c r="D101" s="55" t="str">
        <x:v>2014-10-23</x:v>
      </x:c>
      <x:c r="E101" s="53" t="str">
        <x:v>Message de clavardage entre les parties</x:v>
      </x:c>
      <x:c r="F101" s="53" t="str">
        <x:v>Paiements piscine et gymnastique</x:v>
      </x:c>
      <x:c r="G101" s="53" t="str">
        <x:v>Axe activités des enfants — inventaire; Catalogue §6-B</x:v>
      </x:c>
      <x:c r="H101" s="53" t="str">
        <x:v>explicitement listée</x:v>
      </x:c>
      <x:c r="I101" s="53" t="str">
        <x:v>Le catalogue global cite une plage 111 à 146; seuls les identifiants individualisés dans l’axe sont inscrits comme pièces distinctes.</x:v>
      </x:c>
    </x:row>
    <x:row r="102">
      <x:c r="A102" s="55" t="str">
        <x:v>98</x:v>
      </x:c>
      <x:c r="B102" s="53" t="str">
        <x:v>ChatMessage id=127</x:v>
      </x:c>
      <x:c r="C102" s="53" t="str">
        <x:v>ChatMessages id=111 à 146 (liasse)</x:v>
      </x:c>
      <x:c r="D102" s="55" t="str">
        <x:v>2014-10-23</x:v>
      </x:c>
      <x:c r="E102" s="53" t="str">
        <x:v>Message de clavardage entre les parties</x:v>
      </x:c>
      <x:c r="F102" s="53" t="str">
        <x:v>Coût des cours de danse</x:v>
      </x:c>
      <x:c r="G102" s="53" t="str">
        <x:v>Axe activités des enfants — inventaire; Catalogue §6-B</x:v>
      </x:c>
      <x:c r="H102" s="53" t="str">
        <x:v>explicitement listée</x:v>
      </x:c>
      <x:c r="I102" s="53" t="str">
        <x:v>Le catalogue global cite une plage 111 à 146; seuls les identifiants individualisés dans l’axe sont inscrits comme pièces distinctes.</x:v>
      </x:c>
    </x:row>
    <x:row r="103">
      <x:c r="A103" s="55" t="str">
        <x:v>99</x:v>
      </x:c>
      <x:c r="B103" s="53" t="str">
        <x:v>ChatMessage id=129</x:v>
      </x:c>
      <x:c r="C103" s="53" t="str">
        <x:v>ChatMessages id=111 à 146 (liasse)</x:v>
      </x:c>
      <x:c r="D103" s="55" t="str">
        <x:v>2014-10-23</x:v>
      </x:c>
      <x:c r="E103" s="53" t="str">
        <x:v>Message de clavardage entre les parties</x:v>
      </x:c>
      <x:c r="F103" s="53" t="str">
        <x:v>Coût de la natation</x:v>
      </x:c>
      <x:c r="G103" s="53" t="str">
        <x:v>Axe activités des enfants — inventaire; Catalogue §6-B</x:v>
      </x:c>
      <x:c r="H103" s="53" t="str">
        <x:v>explicitement listée</x:v>
      </x:c>
      <x:c r="I103" s="53" t="str">
        <x:v>Le catalogue global cite une plage 111 à 146; seuls les identifiants individualisés dans l’axe sont inscrits comme pièces distinctes.</x:v>
      </x:c>
    </x:row>
    <x:row r="104">
      <x:c r="A104" s="55" t="str">
        <x:v>100</x:v>
      </x:c>
      <x:c r="B104" s="53" t="str">
        <x:v>ChatMessage id=131</x:v>
      </x:c>
      <x:c r="C104" s="53" t="str">
        <x:v>ChatMessages id=111 à 146 (liasse)</x:v>
      </x:c>
      <x:c r="D104" s="55" t="str">
        <x:v>2014-10-23</x:v>
      </x:c>
      <x:c r="E104" s="53" t="str">
        <x:v>Message de clavardage entre les parties</x:v>
      </x:c>
      <x:c r="F104" s="53" t="str">
        <x:v>Coût de la gymnastique</x:v>
      </x:c>
      <x:c r="G104" s="53" t="str">
        <x:v>Axe activités des enfants — inventaire; Catalogue §6-B</x:v>
      </x:c>
      <x:c r="H104" s="53" t="str">
        <x:v>explicitement listée</x:v>
      </x:c>
      <x:c r="I104" s="53" t="str">
        <x:v>Le catalogue global cite une plage 111 à 146; seuls les identifiants individualisés dans l’axe sont inscrits comme pièces distinctes.</x:v>
      </x:c>
    </x:row>
    <x:row r="105">
      <x:c r="A105" s="55" t="str">
        <x:v>101</x:v>
      </x:c>
      <x:c r="B105" s="53" t="str">
        <x:v>ChatMessage id=133</x:v>
      </x:c>
      <x:c r="C105" s="53" t="str">
        <x:v>ChatMessages id=111 à 146 (liasse)</x:v>
      </x:c>
      <x:c r="D105" s="55" t="str">
        <x:v>2014-10-23</x:v>
      </x:c>
      <x:c r="E105" s="53" t="str">
        <x:v>Message de clavardage entre les parties</x:v>
      </x:c>
      <x:c r="F105" s="53" t="str">
        <x:v>Transaction de natation</x:v>
      </x:c>
      <x:c r="G105" s="53" t="str">
        <x:v>Axe activités des enfants — inventaire; Catalogue §6-B</x:v>
      </x:c>
      <x:c r="H105" s="53" t="str">
        <x:v>explicitement listée</x:v>
      </x:c>
      <x:c r="I105" s="53" t="str">
        <x:v>Le catalogue global cite une plage 111 à 146; seuls les identifiants individualisés dans l’axe sont inscrits comme pièces distinctes.</x:v>
      </x:c>
    </x:row>
    <x:row r="106">
      <x:c r="A106" s="55" t="str">
        <x:v>102</x:v>
      </x:c>
      <x:c r="B106" s="53" t="str">
        <x:v>ChatMessage id=138</x:v>
      </x:c>
      <x:c r="C106" s="53" t="str">
        <x:v>ChatMessages id=111 à 146 (liasse)</x:v>
      </x:c>
      <x:c r="D106" s="55" t="str">
        <x:v>2014-10-23</x:v>
      </x:c>
      <x:c r="E106" s="53" t="str">
        <x:v>Message de clavardage entre les parties</x:v>
      </x:c>
      <x:c r="F106" s="53" t="str">
        <x:v>Deuxième transaction de natation</x:v>
      </x:c>
      <x:c r="G106" s="53" t="str">
        <x:v>Axe activités des enfants — inventaire; Catalogue §6-B</x:v>
      </x:c>
      <x:c r="H106" s="53" t="str">
        <x:v>explicitement listée</x:v>
      </x:c>
      <x:c r="I106" s="53" t="str">
        <x:v>Le catalogue global cite une plage 111 à 146; seuls les identifiants individualisés dans l’axe sont inscrits comme pièces distinctes.</x:v>
      </x:c>
    </x:row>
    <x:row r="107">
      <x:c r="A107" s="55" t="str">
        <x:v>103</x:v>
      </x:c>
      <x:c r="B107" s="53" t="str">
        <x:v>ChatMessage id=142</x:v>
      </x:c>
      <x:c r="C107" s="53" t="str">
        <x:v>ChatMessages id=111 à 146 (liasse)</x:v>
      </x:c>
      <x:c r="D107" s="55" t="str">
        <x:v>2014-10-23</x:v>
      </x:c>
      <x:c r="E107" s="53" t="str">
        <x:v>Message de clavardage entre les parties</x:v>
      </x:c>
      <x:c r="F107" s="53" t="str">
        <x:v>Fréquence annuelle des sessions de natation</x:v>
      </x:c>
      <x:c r="G107" s="53" t="str">
        <x:v>Axe activités des enfants — inventaire; Catalogue §6-B</x:v>
      </x:c>
      <x:c r="H107" s="53" t="str">
        <x:v>explicitement listée</x:v>
      </x:c>
      <x:c r="I107" s="53" t="str">
        <x:v>Le catalogue global cite une plage 111 à 146; seuls les identifiants individualisés dans l’axe sont inscrits comme pièces distinctes.</x:v>
      </x:c>
    </x:row>
    <x:row r="108">
      <x:c r="A108" s="55" t="str">
        <x:v>104</x:v>
      </x:c>
      <x:c r="B108" s="53" t="str">
        <x:v>ChatMessage id=143</x:v>
      </x:c>
      <x:c r="C108" s="53" t="str">
        <x:v>ChatMessages id=111 à 146 (liasse)</x:v>
      </x:c>
      <x:c r="D108" s="55" t="str">
        <x:v>2014-10-23</x:v>
      </x:c>
      <x:c r="E108" s="53" t="str">
        <x:v>Message de clavardage entre les parties</x:v>
      </x:c>
      <x:c r="F108" s="53" t="str">
        <x:v>Transaction AcroGym</x:v>
      </x:c>
      <x:c r="G108" s="53" t="str">
        <x:v>Axe activités des enfants — inventaire; Catalogue §6-B</x:v>
      </x:c>
      <x:c r="H108" s="53" t="str">
        <x:v>explicitement listée</x:v>
      </x:c>
      <x:c r="I108" s="53" t="str">
        <x:v>Le catalogue global cite une plage 111 à 146; seuls les identifiants individualisés dans l’axe sont inscrits comme pièces distinctes.</x:v>
      </x:c>
    </x:row>
    <x:row r="109">
      <x:c r="A109" s="55" t="str">
        <x:v>105</x:v>
      </x:c>
      <x:c r="B109" s="53" t="str">
        <x:v>ChatMessage id=145</x:v>
      </x:c>
      <x:c r="C109" s="53" t="str">
        <x:v>ChatMessages id=111 à 146 (liasse)</x:v>
      </x:c>
      <x:c r="D109" s="55" t="str">
        <x:v>2014-10-23</x:v>
      </x:c>
      <x:c r="E109" s="53" t="str">
        <x:v>Message de clavardage entre les parties</x:v>
      </x:c>
      <x:c r="F109" s="53" t="str">
        <x:v>Coût annuel de la gymnastique</x:v>
      </x:c>
      <x:c r="G109" s="53" t="str">
        <x:v>Axe activités des enfants — inventaire; Catalogue §6-B</x:v>
      </x:c>
      <x:c r="H109" s="53" t="str">
        <x:v>explicitement listée</x:v>
      </x:c>
      <x:c r="I109" s="53" t="str">
        <x:v>Le catalogue global cite une plage 111 à 146; seuls les identifiants individualisés dans l’axe sont inscrits comme pièces distinctes.</x:v>
      </x:c>
    </x:row>
    <x:row r="110">
      <x:c r="A110" s="55" t="str">
        <x:v>106</x:v>
      </x:c>
      <x:c r="B110" s="53" t="str">
        <x:v>ChatMessage id=146</x:v>
      </x:c>
      <x:c r="C110" s="53" t="str">
        <x:v>ChatMessages id=111 à 146 (liasse)</x:v>
      </x:c>
      <x:c r="D110" s="55" t="str">
        <x:v>2014-10-23</x:v>
      </x:c>
      <x:c r="E110" s="53" t="str">
        <x:v>Message de clavardage entre les parties</x:v>
      </x:c>
      <x:c r="F110" s="53" t="str">
        <x:v>Confirmation de la périodicité annuelle</x:v>
      </x:c>
      <x:c r="G110" s="53" t="str">
        <x:v>Axe activités des enfants — inventaire; Catalogue §6-B</x:v>
      </x:c>
      <x:c r="H110" s="53" t="str">
        <x:v>explicitement listée</x:v>
      </x:c>
      <x:c r="I110" s="53" t="str">
        <x:v>Le catalogue global cite une plage 111 à 146; seuls les identifiants individualisés dans l’axe sont inscrits comme pièces distinctes.</x:v>
      </x:c>
    </x:row>
    <x:row r="111">
      <x:c r="A111" s="55" t="str">
        <x:v>107</x:v>
      </x:c>
      <x:c r="B111" s="53" t="str">
        <x:v>P-4</x:v>
      </x:c>
      <x:c r="C111" s="53" t="str"/>
      <x:c r="D111" s="55" t="str">
        <x:v>non précisé dans les fichiers examinés</x:v>
      </x:c>
      <x:c r="E111" s="53" t="str">
        <x:v>Cote P d’activité</x:v>
      </x:c>
      <x:c r="F111" s="53" t="str">
        <x:v>Natation</x:v>
      </x:c>
      <x:c r="G111" s="53" t="str">
        <x:v>Argument — activités structurées/non structurées; Relation/Synthèse</x:v>
      </x:c>
      <x:c r="H111" s="53" t="str">
        <x:v>explicitement listée</x:v>
      </x:c>
      <x:c r="I111" s="53" t="str">
        <x:v>Identifiant brut correspondant non établi.</x:v>
      </x:c>
    </x:row>
    <x:row r="112">
      <x:c r="A112" s="55" t="str">
        <x:v>108</x:v>
      </x:c>
      <x:c r="B112" s="53" t="str">
        <x:v>P-5</x:v>
      </x:c>
      <x:c r="C112" s="53" t="str"/>
      <x:c r="D112" s="55" t="str">
        <x:v>non précisé dans les fichiers examinés</x:v>
      </x:c>
      <x:c r="E112" s="53" t="str">
        <x:v>Cote P d’activité</x:v>
      </x:c>
      <x:c r="F112" s="53" t="str">
        <x:v>Natation</x:v>
      </x:c>
      <x:c r="G112" s="53" t="str">
        <x:v>Argument — activités structurées/non structurées; Relation/Synthèse</x:v>
      </x:c>
      <x:c r="H112" s="53" t="str">
        <x:v>explicitement listée</x:v>
      </x:c>
      <x:c r="I112" s="53" t="str">
        <x:v>Ne pas confondre la cote P-5 avec le fichier interne piece_pdf-5.md; les fichiers leur attribuent des objets différents.</x:v>
      </x:c>
    </x:row>
    <x:row r="113">
      <x:c r="A113" s="55" t="str">
        <x:v>109</x:v>
      </x:c>
      <x:c r="B113" s="53" t="str">
        <x:v>P-65</x:v>
      </x:c>
      <x:c r="C113" s="53" t="str"/>
      <x:c r="D113" s="55" t="str">
        <x:v>non précisé dans les fichiers examinés</x:v>
      </x:c>
      <x:c r="E113" s="53" t="str">
        <x:v>Cote P d’activité</x:v>
      </x:c>
      <x:c r="F113" s="53" t="str">
        <x:v>Natation</x:v>
      </x:c>
      <x:c r="G113" s="53" t="str">
        <x:v>Argument — activités structurées/non structurées; Relation/Synthèse</x:v>
      </x:c>
      <x:c r="H113" s="53" t="str">
        <x:v>explicitement listée</x:v>
      </x:c>
      <x:c r="I113" s="53" t="str">
        <x:v>Identifiant brut correspondant non établi.</x:v>
      </x:c>
    </x:row>
    <x:row r="114">
      <x:c r="A114" s="55" t="str">
        <x:v>110</x:v>
      </x:c>
      <x:c r="B114" s="53" t="str">
        <x:v>P-155</x:v>
      </x:c>
      <x:c r="C114" s="53" t="str"/>
      <x:c r="D114" s="55" t="str">
        <x:v>non précisé dans les fichiers examinés</x:v>
      </x:c>
      <x:c r="E114" s="53" t="str">
        <x:v>Cote P d’activité</x:v>
      </x:c>
      <x:c r="F114" s="53" t="str">
        <x:v>AcroGym</x:v>
      </x:c>
      <x:c r="G114" s="53" t="str">
        <x:v>Argument — activités structurées/non structurées; Relation/Synthèse</x:v>
      </x:c>
      <x:c r="H114" s="53" t="str">
        <x:v>explicitement listée</x:v>
      </x:c>
      <x:c r="I114" s="53" t="str">
        <x:v>Identifiant brut correspondant non établi.</x:v>
      </x:c>
    </x:row>
    <x:row r="115">
      <x:c r="A115" s="55" t="str">
        <x:v>111</x:v>
      </x:c>
      <x:c r="B115" s="53" t="str">
        <x:v>P-173</x:v>
      </x:c>
      <x:c r="C115" s="53" t="str"/>
      <x:c r="D115" s="55" t="str">
        <x:v>non précisé dans les fichiers examinés</x:v>
      </x:c>
      <x:c r="E115" s="53" t="str">
        <x:v>Cote P d’activité</x:v>
      </x:c>
      <x:c r="F115" s="53" t="str">
        <x:v>AcroGym</x:v>
      </x:c>
      <x:c r="G115" s="53" t="str">
        <x:v>Argument — activités structurées/non structurées; Relation/Synthèse</x:v>
      </x:c>
      <x:c r="H115" s="53" t="str">
        <x:v>explicitement listée</x:v>
      </x:c>
      <x:c r="I115" s="53" t="str">
        <x:v>Identifiant brut correspondant non établi.</x:v>
      </x:c>
    </x:row>
    <x:row r="116">
      <x:c r="A116" s="55" t="str">
        <x:v>112</x:v>
      </x:c>
      <x:c r="B116" s="53" t="str">
        <x:v>P-223</x:v>
      </x:c>
      <x:c r="C116" s="53" t="str"/>
      <x:c r="D116" s="55" t="str">
        <x:v>non précisé dans les fichiers examinés</x:v>
      </x:c>
      <x:c r="E116" s="53" t="str">
        <x:v>Cote P d’activité</x:v>
      </x:c>
      <x:c r="F116" s="53" t="str">
        <x:v>Récital de danse</x:v>
      </x:c>
      <x:c r="G116" s="53" t="str">
        <x:v>Argument — activités structurées/non structurées; Relation/Synthèse</x:v>
      </x:c>
      <x:c r="H116" s="53" t="str">
        <x:v>explicitement listée</x:v>
      </x:c>
      <x:c r="I116" s="53" t="str">
        <x:v>Identifiant brut correspondant non établi.</x:v>
      </x:c>
    </x:row>
    <x:row r="117">
      <x:c r="A117" s="55" t="str">
        <x:v>113</x:v>
      </x:c>
      <x:c r="B117" s="53" t="str">
        <x:v>P-226</x:v>
      </x:c>
      <x:c r="C117" s="53" t="str"/>
      <x:c r="D117" s="55" t="str">
        <x:v>non précisé dans les fichiers examinés</x:v>
      </x:c>
      <x:c r="E117" s="53" t="str">
        <x:v>Cote P d’activité</x:v>
      </x:c>
      <x:c r="F117" s="53" t="str">
        <x:v>Récital de danse</x:v>
      </x:c>
      <x:c r="G117" s="53" t="str">
        <x:v>Argument — activités structurées/non structurées; Relation/Synthèse</x:v>
      </x:c>
      <x:c r="H117" s="53" t="str">
        <x:v>explicitement listée</x:v>
      </x:c>
      <x:c r="I117" s="53" t="str">
        <x:v>Identifiant brut correspondant non établi.</x:v>
      </x:c>
    </x:row>
    <x:row r="118">
      <x:c r="A118" s="55" t="str">
        <x:v>114</x:v>
      </x:c>
      <x:c r="B118" s="53" t="str">
        <x:v>P-326</x:v>
      </x:c>
      <x:c r="C118" s="53" t="str"/>
      <x:c r="D118" s="55" t="str">
        <x:v>non précisé dans les fichiers examinés</x:v>
      </x:c>
      <x:c r="E118" s="53" t="str">
        <x:v>Cote P d’activité</x:v>
      </x:c>
      <x:c r="F118" s="53" t="str">
        <x:v>Récital de danse</x:v>
      </x:c>
      <x:c r="G118" s="53" t="str">
        <x:v>Argument — activités structurées/non structurées; Relation/Synthèse</x:v>
      </x:c>
      <x:c r="H118" s="53" t="str">
        <x:v>explicitement listée</x:v>
      </x:c>
      <x:c r="I118" s="53" t="str">
        <x:v>Ne pas confondre P-326 avec Event id=326; aucune équivalence formelle n’est fournie.</x:v>
      </x:c>
    </x:row>
    <x:row r="119">
      <x:c r="A119" s="55" t="str">
        <x:v>115</x:v>
      </x:c>
      <x:c r="B119" s="53" t="str">
        <x:v>P-238</x:v>
      </x:c>
      <x:c r="C119" s="53" t="str"/>
      <x:c r="D119" s="55" t="str">
        <x:v>non précisé dans les fichiers examinés</x:v>
      </x:c>
      <x:c r="E119" s="53" t="str">
        <x:v>Cote P d’activité</x:v>
      </x:c>
      <x:c r="F119" s="53" t="str">
        <x:v>Soccer</x:v>
      </x:c>
      <x:c r="G119" s="53" t="str">
        <x:v>Argument — activités structurées/non structurées; Relation/Synthèse</x:v>
      </x:c>
      <x:c r="H119" s="53" t="str">
        <x:v>explicitement listée</x:v>
      </x:c>
      <x:c r="I119" s="53" t="str">
        <x:v>Identifiant brut correspondant non établi.</x:v>
      </x:c>
    </x:row>
    <x:row r="120">
      <x:c r="A120" s="55" t="str">
        <x:v>116</x:v>
      </x:c>
      <x:c r="B120" s="53" t="str">
        <x:v>P-282</x:v>
      </x:c>
      <x:c r="C120" s="53" t="str"/>
      <x:c r="D120" s="55" t="str">
        <x:v>non précisé dans les fichiers examinés</x:v>
      </x:c>
      <x:c r="E120" s="53" t="str">
        <x:v>Cote P d’activité</x:v>
      </x:c>
      <x:c r="F120" s="53" t="str">
        <x:v>Soccer</x:v>
      </x:c>
      <x:c r="G120" s="53" t="str">
        <x:v>Argument — activités structurées/non structurées; Relation/Synthèse</x:v>
      </x:c>
      <x:c r="H120" s="53" t="str">
        <x:v>explicitement listée</x:v>
      </x:c>
      <x:c r="I120" s="53" t="str">
        <x:v>Identifiant brut correspondant non établi.</x:v>
      </x:c>
    </x:row>
    <x:row r="121">
      <x:c r="A121" s="55" t="str">
        <x:v>117</x:v>
      </x:c>
      <x:c r="B121" s="53" t="str">
        <x:v>P-12</x:v>
      </x:c>
      <x:c r="C121" s="53" t="str"/>
      <x:c r="D121" s="55" t="str">
        <x:v>non précisé dans les fichiers examinés</x:v>
      </x:c>
      <x:c r="E121" s="53" t="str">
        <x:v>Cote P d’activité</x:v>
      </x:c>
      <x:c r="F121" s="53" t="str">
        <x:v>Parc/sortie non structurée</x:v>
      </x:c>
      <x:c r="G121" s="53" t="str">
        <x:v>Argument — activités structurées/non structurées; Relation/Synthèse</x:v>
      </x:c>
      <x:c r="H121" s="53" t="str">
        <x:v>explicitement listée</x:v>
      </x:c>
      <x:c r="I121" s="53" t="str">
        <x:v>Identifiant brut correspondant non établi.</x:v>
      </x:c>
    </x:row>
    <x:row r="122">
      <x:c r="A122" s="55" t="str">
        <x:v>118</x:v>
      </x:c>
      <x:c r="B122" s="53" t="str">
        <x:v>P-81</x:v>
      </x:c>
      <x:c r="C122" s="53" t="str"/>
      <x:c r="D122" s="55" t="str">
        <x:v>non précisé dans les fichiers examinés</x:v>
      </x:c>
      <x:c r="E122" s="53" t="str">
        <x:v>Cote P d’activité</x:v>
      </x:c>
      <x:c r="F122" s="53" t="str">
        <x:v>Parc/sortie non structurée</x:v>
      </x:c>
      <x:c r="G122" s="53" t="str">
        <x:v>Argument — activités structurées/non structurées; Relation/Synthèse</x:v>
      </x:c>
      <x:c r="H122" s="53" t="str">
        <x:v>explicitement listée</x:v>
      </x:c>
      <x:c r="I122" s="53" t="str">
        <x:v>Identifiant brut correspondant non établi.</x:v>
      </x:c>
    </x:row>
    <x:row r="123">
      <x:c r="A123" s="55" t="str">
        <x:v>119</x:v>
      </x:c>
      <x:c r="B123" s="53" t="str">
        <x:v>P-82</x:v>
      </x:c>
      <x:c r="C123" s="53" t="str"/>
      <x:c r="D123" s="55" t="str">
        <x:v>non précisé dans les fichiers examinés</x:v>
      </x:c>
      <x:c r="E123" s="53" t="str">
        <x:v>Cote P d’activité</x:v>
      </x:c>
      <x:c r="F123" s="53" t="str">
        <x:v>Parc/sortie non structurée</x:v>
      </x:c>
      <x:c r="G123" s="53" t="str">
        <x:v>Argument — activités structurées/non structurées; Relation/Synthèse</x:v>
      </x:c>
      <x:c r="H123" s="53" t="str">
        <x:v>explicitement listée</x:v>
      </x:c>
      <x:c r="I123" s="53" t="str">
        <x:v>Identifiant brut correspondant non établi.</x:v>
      </x:c>
    </x:row>
    <x:row r="124">
      <x:c r="A124" s="55" t="str">
        <x:v>120</x:v>
      </x:c>
      <x:c r="B124" s="53" t="str">
        <x:v>P-193</x:v>
      </x:c>
      <x:c r="C124" s="53" t="str"/>
      <x:c r="D124" s="55" t="str">
        <x:v>non précisé dans les fichiers examinés</x:v>
      </x:c>
      <x:c r="E124" s="53" t="str">
        <x:v>Cote P d’activité</x:v>
      </x:c>
      <x:c r="F124" s="53" t="str">
        <x:v>Parc/sortie non structurée</x:v>
      </x:c>
      <x:c r="G124" s="53" t="str">
        <x:v>Argument — activités structurées/non structurées; Relation/Synthèse</x:v>
      </x:c>
      <x:c r="H124" s="53" t="str">
        <x:v>explicitement listée</x:v>
      </x:c>
      <x:c r="I124" s="53" t="str">
        <x:v>Identifiant brut correspondant non établi.</x:v>
      </x:c>
    </x:row>
    <x:row r="125">
      <x:c r="A125" s="55" t="str">
        <x:v>121</x:v>
      </x:c>
      <x:c r="B125" s="53" t="str">
        <x:v>P-236</x:v>
      </x:c>
      <x:c r="C125" s="53" t="str"/>
      <x:c r="D125" s="55" t="str">
        <x:v>non précisé dans les fichiers examinés</x:v>
      </x:c>
      <x:c r="E125" s="53" t="str">
        <x:v>Cote P d’activité</x:v>
      </x:c>
      <x:c r="F125" s="53" t="str">
        <x:v>Parc/sortie non structurée</x:v>
      </x:c>
      <x:c r="G125" s="53" t="str">
        <x:v>Argument — activités structurées/non structurées; Relation/Synthèse</x:v>
      </x:c>
      <x:c r="H125" s="53" t="str">
        <x:v>explicitement listée</x:v>
      </x:c>
      <x:c r="I125" s="53" t="str">
        <x:v>Identifiant brut correspondant non établi.</x:v>
      </x:c>
    </x:row>
    <x:row r="126">
      <x:c r="A126" s="55" t="str">
        <x:v>122</x:v>
      </x:c>
      <x:c r="B126" s="53" t="str">
        <x:v>P-316</x:v>
      </x:c>
      <x:c r="C126" s="53" t="str"/>
      <x:c r="D126" s="55" t="str">
        <x:v>non précisé dans les fichiers examinés</x:v>
      </x:c>
      <x:c r="E126" s="53" t="str">
        <x:v>Cote P d’activité</x:v>
      </x:c>
      <x:c r="F126" s="53" t="str">
        <x:v>Parc/sortie non structurée</x:v>
      </x:c>
      <x:c r="G126" s="53" t="str">
        <x:v>Argument — activités structurées/non structurées; Relation/Synthèse</x:v>
      </x:c>
      <x:c r="H126" s="53" t="str">
        <x:v>explicitement listée</x:v>
      </x:c>
      <x:c r="I126" s="53" t="str">
        <x:v>Identifiant brut correspondant non établi.</x:v>
      </x:c>
    </x:row>
    <x:row r="127">
      <x:c r="A127" s="55" t="str">
        <x:v>123</x:v>
      </x:c>
      <x:c r="B127" s="53" t="str">
        <x:v>P-194</x:v>
      </x:c>
      <x:c r="C127" s="53" t="str"/>
      <x:c r="D127" s="55" t="str">
        <x:v>non précisé dans les fichiers examinés</x:v>
      </x:c>
      <x:c r="E127" s="53" t="str">
        <x:v>Cote P d’activité</x:v>
      </x:c>
      <x:c r="F127" s="53" t="str">
        <x:v>Cabane à sucre</x:v>
      </x:c>
      <x:c r="G127" s="53" t="str">
        <x:v>Argument — activités structurées/non structurées; Relation/Synthèse</x:v>
      </x:c>
      <x:c r="H127" s="53" t="str">
        <x:v>explicitement listée</x:v>
      </x:c>
      <x:c r="I127" s="53" t="str">
        <x:v>Identifiant brut correspondant non établi.</x:v>
      </x:c>
    </x:row>
    <x:row r="128">
      <x:c r="A128" s="55" t="str">
        <x:v>124</x:v>
      </x:c>
      <x:c r="B128" s="53" t="str">
        <x:v>P-101</x:v>
      </x:c>
      <x:c r="C128" s="53" t="str"/>
      <x:c r="D128" s="55" t="str">
        <x:v>non précisé dans les fichiers examinés</x:v>
      </x:c>
      <x:c r="E128" s="53" t="str">
        <x:v>Cote P d’activité</x:v>
      </x:c>
      <x:c r="F128" s="53" t="str">
        <x:v>Anniversaire</x:v>
      </x:c>
      <x:c r="G128" s="53" t="str">
        <x:v>Argument — activités structurées/non structurées; Relation/Synthèse</x:v>
      </x:c>
      <x:c r="H128" s="53" t="str">
        <x:v>explicitement listée</x:v>
      </x:c>
      <x:c r="I128" s="53" t="str">
        <x:v>Identifiant brut correspondant non établi.</x:v>
      </x:c>
    </x:row>
    <x:row r="129">
      <x:c r="A129" s="55" t="str">
        <x:v>125</x:v>
      </x:c>
      <x:c r="B129" s="53" t="str">
        <x:v>P-260</x:v>
      </x:c>
      <x:c r="C129" s="53" t="str"/>
      <x:c r="D129" s="55" t="str">
        <x:v>non précisé dans les fichiers examinés</x:v>
      </x:c>
      <x:c r="E129" s="53" t="str">
        <x:v>Cote P d’activité</x:v>
      </x:c>
      <x:c r="F129" s="53" t="str">
        <x:v>Anniversaire</x:v>
      </x:c>
      <x:c r="G129" s="53" t="str">
        <x:v>Argument — activités structurées/non structurées; Relation/Synthèse</x:v>
      </x:c>
      <x:c r="H129" s="53" t="str">
        <x:v>explicitement listée</x:v>
      </x:c>
      <x:c r="I129" s="53" t="str">
        <x:v>Identifiant brut correspondant non établi.</x:v>
      </x:c>
    </x:row>
    <x:row r="130">
      <x:c r="A130" s="55" t="str">
        <x:v>126</x:v>
      </x:c>
      <x:c r="B130" s="53" t="str">
        <x:v>Event id=17</x:v>
      </x:c>
      <x:c r="C130" s="53" t="str"/>
      <x:c r="D130" s="55" t="str">
        <x:v>2010-03-11</x:v>
      </x:c>
      <x:c r="E130" s="53" t="str">
        <x:v>Event / photographie horodatée</x:v>
      </x:c>
      <x:c r="F130" s="53" t="str">
        <x:v>Voyage familial à Cuba</x:v>
      </x:c>
      <x:c r="G130" s="53" t="str">
        <x:v>Axe présence quotidienne — inventaire complet; Catalogue §6-C</x:v>
      </x:c>
      <x:c r="H130" s="53" t="str">
        <x:v>explicitement listée</x:v>
      </x:c>
      <x:c r="I130" s="53" t="str"/>
    </x:row>
    <x:row r="131">
      <x:c r="A131" s="55" t="str">
        <x:v>127</x:v>
      </x:c>
      <x:c r="B131" s="53" t="str">
        <x:v>Event id=25</x:v>
      </x:c>
      <x:c r="C131" s="53" t="str"/>
      <x:c r="D131" s="55" t="str">
        <x:v>2010-11-11</x:v>
      </x:c>
      <x:c r="E131" s="53" t="str">
        <x:v>Event / photographie horodatée</x:v>
      </x:c>
      <x:c r="F131" s="53" t="str">
        <x:v>Sortie au parc Alexandra</x:v>
      </x:c>
      <x:c r="G131" s="53" t="str">
        <x:v>Axe présence quotidienne — inventaire complet; Catalogue §6-C</x:v>
      </x:c>
      <x:c r="H131" s="53" t="str">
        <x:v>explicitement listée</x:v>
      </x:c>
      <x:c r="I131" s="53" t="str"/>
    </x:row>
    <x:row r="132">
      <x:c r="A132" s="55" t="str">
        <x:v>128</x:v>
      </x:c>
      <x:c r="B132" s="53" t="str">
        <x:v>Event id=36</x:v>
      </x:c>
      <x:c r="C132" s="53" t="str"/>
      <x:c r="D132" s="55" t="str">
        <x:v>2010-12-24</x:v>
      </x:c>
      <x:c r="E132" s="53" t="str">
        <x:v>Event / photographie horodatée</x:v>
      </x:c>
      <x:c r="F132" s="53" t="str">
        <x:v>Visite au domicile des grands-parents paternels</x:v>
      </x:c>
      <x:c r="G132" s="53" t="str">
        <x:v>Axe présence quotidienne — inventaire complet; Catalogue §6-C</x:v>
      </x:c>
      <x:c r="H132" s="53" t="str">
        <x:v>explicitement listée</x:v>
      </x:c>
      <x:c r="I132" s="53" t="str"/>
    </x:row>
    <x:row r="133">
      <x:c r="A133" s="55" t="str">
        <x:v>129</x:v>
      </x:c>
      <x:c r="B133" s="53" t="str">
        <x:v>Event id=37</x:v>
      </x:c>
      <x:c r="C133" s="53" t="str"/>
      <x:c r="D133" s="55" t="str">
        <x:v>2010-12-27</x:v>
      </x:c>
      <x:c r="E133" s="53" t="str">
        <x:v>Event / photographie horodatée</x:v>
      </x:c>
      <x:c r="F133" s="53" t="str">
        <x:v>Visite au domicile des grands-parents paternels</x:v>
      </x:c>
      <x:c r="G133" s="53" t="str">
        <x:v>Axe présence quotidienne — inventaire complet; Catalogue §6-C</x:v>
      </x:c>
      <x:c r="H133" s="53" t="str">
        <x:v>explicitement listée</x:v>
      </x:c>
      <x:c r="I133" s="53" t="str"/>
    </x:row>
    <x:row r="134">
      <x:c r="A134" s="55" t="str">
        <x:v>130</x:v>
      </x:c>
      <x:c r="B134" s="53" t="str">
        <x:v>Event id=45</x:v>
      </x:c>
      <x:c r="C134" s="53" t="str"/>
      <x:c r="D134" s="55" t="str">
        <x:v>2011-01-30</x:v>
      </x:c>
      <x:c r="E134" s="53" t="str">
        <x:v>Event / photographie horodatée</x:v>
      </x:c>
      <x:c r="F134" s="53" t="str">
        <x:v>Repas/soins dans la famille paternelle</x:v>
      </x:c>
      <x:c r="G134" s="53" t="str">
        <x:v>Axe présence quotidienne — inventaire complet; Catalogue §6-C</x:v>
      </x:c>
      <x:c r="H134" s="53" t="str">
        <x:v>explicitement listée</x:v>
      </x:c>
      <x:c r="I134" s="53" t="str"/>
    </x:row>
    <x:row r="135">
      <x:c r="A135" s="55" t="str">
        <x:v>131</x:v>
      </x:c>
      <x:c r="B135" s="53" t="str">
        <x:v>Event id=49</x:v>
      </x:c>
      <x:c r="C135" s="53" t="str"/>
      <x:c r="D135" s="55" t="str">
        <x:v>2011-02-13</x:v>
      </x:c>
      <x:c r="E135" s="53" t="str">
        <x:v>Event / photographie horodatée</x:v>
      </x:c>
      <x:c r="F135" s="53" t="str">
        <x:v>Visite aux grands-parents</x:v>
      </x:c>
      <x:c r="G135" s="53" t="str">
        <x:v>Axe présence quotidienne — inventaire complet; Catalogue §6-C</x:v>
      </x:c>
      <x:c r="H135" s="53" t="str">
        <x:v>explicitement listée</x:v>
      </x:c>
      <x:c r="I135" s="53" t="str"/>
    </x:row>
    <x:row r="136">
      <x:c r="A136" s="55" t="str">
        <x:v>132</x:v>
      </x:c>
      <x:c r="B136" s="53" t="str">
        <x:v>Event id=53</x:v>
      </x:c>
      <x:c r="C136" s="53" t="str"/>
      <x:c r="D136" s="55" t="str">
        <x:v>non précisé dans les fichiers examinés</x:v>
      </x:c>
      <x:c r="E136" s="53" t="str">
        <x:v>Event / photographie horodatée</x:v>
      </x:c>
      <x:c r="F136" s="53" t="str">
        <x:v>Présence quotidienne, sortie, activité ou milieu familial paternel; détail non précisé dans les extraits examinés</x:v>
      </x:c>
      <x:c r="G136" s="53" t="str">
        <x:v>Axe présence quotidienne — inventaire complet; Catalogue §6-C</x:v>
      </x:c>
      <x:c r="H136" s="53" t="str">
        <x:v>explicitement listée</x:v>
      </x:c>
      <x:c r="I136" s="53" t="str"/>
    </x:row>
    <x:row r="137">
      <x:c r="A137" s="55" t="str">
        <x:v>133</x:v>
      </x:c>
      <x:c r="B137" s="53" t="str">
        <x:v>Event id=54</x:v>
      </x:c>
      <x:c r="C137" s="53" t="str"/>
      <x:c r="D137" s="55" t="str">
        <x:v>2011-04-03</x:v>
      </x:c>
      <x:c r="E137" s="53" t="str">
        <x:v>Event / photographie horodatée</x:v>
      </x:c>
      <x:c r="F137" s="53" t="str">
        <x:v>Parc Alexandra</x:v>
      </x:c>
      <x:c r="G137" s="53" t="str">
        <x:v>Axe présence quotidienne — inventaire complet; Catalogue §6-C</x:v>
      </x:c>
      <x:c r="H137" s="53" t="str">
        <x:v>explicitement listée</x:v>
      </x:c>
      <x:c r="I137" s="53" t="str"/>
    </x:row>
    <x:row r="138">
      <x:c r="A138" s="55" t="str">
        <x:v>134</x:v>
      </x:c>
      <x:c r="B138" s="53" t="str">
        <x:v>Event id=56</x:v>
      </x:c>
      <x:c r="C138" s="53" t="str"/>
      <x:c r="D138" s="55" t="str">
        <x:v>2011-04-22</x:v>
      </x:c>
      <x:c r="E138" s="53" t="str">
        <x:v>Event / photographie horodatée</x:v>
      </x:c>
      <x:c r="F138" s="53" t="str">
        <x:v>Parc L’Espérance</x:v>
      </x:c>
      <x:c r="G138" s="53" t="str">
        <x:v>Axe présence quotidienne — inventaire complet; Catalogue §6-C</x:v>
      </x:c>
      <x:c r="H138" s="53" t="str">
        <x:v>explicitement listée</x:v>
      </x:c>
      <x:c r="I138" s="53" t="str"/>
    </x:row>
    <x:row r="139">
      <x:c r="A139" s="55" t="str">
        <x:v>135</x:v>
      </x:c>
      <x:c r="B139" s="53" t="str">
        <x:v>Event id=61</x:v>
      </x:c>
      <x:c r="C139" s="53" t="str"/>
      <x:c r="D139" s="55" t="str">
        <x:v>non précisé dans les fichiers examinés</x:v>
      </x:c>
      <x:c r="E139" s="53" t="str">
        <x:v>Event / photographie horodatée</x:v>
      </x:c>
      <x:c r="F139" s="53" t="str">
        <x:v>Présence quotidienne, sortie, activité ou milieu familial paternel; détail non précisé dans les extraits examinés</x:v>
      </x:c>
      <x:c r="G139" s="53" t="str">
        <x:v>Axe présence quotidienne — inventaire complet; Catalogue §6-C</x:v>
      </x:c>
      <x:c r="H139" s="53" t="str">
        <x:v>explicitement listée</x:v>
      </x:c>
      <x:c r="I139" s="53" t="str"/>
    </x:row>
    <x:row r="140">
      <x:c r="A140" s="55" t="str">
        <x:v>136</x:v>
      </x:c>
      <x:c r="B140" s="53" t="str">
        <x:v>Event id=62</x:v>
      </x:c>
      <x:c r="C140" s="53" t="str"/>
      <x:c r="D140" s="55" t="str">
        <x:v>2011-05-07</x:v>
      </x:c>
      <x:c r="E140" s="53" t="str">
        <x:v>Event / photographie horodatée</x:v>
      </x:c>
      <x:c r="F140" s="53" t="str">
        <x:v>Cours de natation d’Alexia</x:v>
      </x:c>
      <x:c r="G140" s="53" t="str">
        <x:v>Axe présence quotidienne — inventaire complet; Catalogue §6-C</x:v>
      </x:c>
      <x:c r="H140" s="53" t="str">
        <x:v>explicitement listée</x:v>
      </x:c>
      <x:c r="I140" s="53" t="str"/>
    </x:row>
    <x:row r="141">
      <x:c r="A141" s="55" t="str">
        <x:v>137</x:v>
      </x:c>
      <x:c r="B141" s="53" t="str">
        <x:v>Event id=63</x:v>
      </x:c>
      <x:c r="C141" s="53" t="str"/>
      <x:c r="D141" s="55" t="str">
        <x:v>non précisé dans les fichiers examinés</x:v>
      </x:c>
      <x:c r="E141" s="53" t="str">
        <x:v>Event / photographie horodatée</x:v>
      </x:c>
      <x:c r="F141" s="53" t="str">
        <x:v>Présence quotidienne, sortie, activité ou milieu familial paternel; détail non précisé dans les extraits examinés</x:v>
      </x:c>
      <x:c r="G141" s="53" t="str">
        <x:v>Axe présence quotidienne — inventaire complet; Catalogue §6-C</x:v>
      </x:c>
      <x:c r="H141" s="53" t="str">
        <x:v>explicitement listée</x:v>
      </x:c>
      <x:c r="I141" s="53" t="str"/>
    </x:row>
    <x:row r="142">
      <x:c r="A142" s="55" t="str">
        <x:v>138</x:v>
      </x:c>
      <x:c r="B142" s="53" t="str">
        <x:v>Event id=64</x:v>
      </x:c>
      <x:c r="C142" s="53" t="str"/>
      <x:c r="D142" s="55" t="str">
        <x:v>non précisé dans les fichiers examinés</x:v>
      </x:c>
      <x:c r="E142" s="53" t="str">
        <x:v>Event / photographie horodatée</x:v>
      </x:c>
      <x:c r="F142" s="53" t="str">
        <x:v>Présence quotidienne, sortie, activité ou milieu familial paternel; détail non précisé dans les extraits examinés</x:v>
      </x:c>
      <x:c r="G142" s="53" t="str">
        <x:v>Axe présence quotidienne — inventaire complet; Catalogue §6-C</x:v>
      </x:c>
      <x:c r="H142" s="53" t="str">
        <x:v>explicitement listée</x:v>
      </x:c>
      <x:c r="I142" s="53" t="str"/>
    </x:row>
    <x:row r="143">
      <x:c r="A143" s="55" t="str">
        <x:v>139</x:v>
      </x:c>
      <x:c r="B143" s="53" t="str">
        <x:v>Event id=70</x:v>
      </x:c>
      <x:c r="C143" s="53" t="str"/>
      <x:c r="D143" s="55" t="str">
        <x:v>2011-06-01</x:v>
      </x:c>
      <x:c r="E143" s="53" t="str">
        <x:v>Event / photographie horodatée</x:v>
      </x:c>
      <x:c r="F143" s="53" t="str">
        <x:v>Sortie à l’Île Notre-Dame</x:v>
      </x:c>
      <x:c r="G143" s="53" t="str">
        <x:v>Axe présence quotidienne — inventaire complet; Catalogue §6-C</x:v>
      </x:c>
      <x:c r="H143" s="53" t="str">
        <x:v>explicitement listée</x:v>
      </x:c>
      <x:c r="I143" s="53" t="str"/>
    </x:row>
    <x:row r="144">
      <x:c r="A144" s="55" t="str">
        <x:v>140</x:v>
      </x:c>
      <x:c r="B144" s="53" t="str">
        <x:v>Event id=71</x:v>
      </x:c>
      <x:c r="C144" s="53" t="str"/>
      <x:c r="D144" s="55" t="str">
        <x:v>2011-06-04</x:v>
      </x:c>
      <x:c r="E144" s="53" t="str">
        <x:v>Event / photographie horodatée</x:v>
      </x:c>
      <x:c r="F144" s="53" t="str">
        <x:v>Sortie à Dunham</x:v>
      </x:c>
      <x:c r="G144" s="53" t="str">
        <x:v>Axe présence quotidienne — inventaire complet; Catalogue §6-C</x:v>
      </x:c>
      <x:c r="H144" s="53" t="str">
        <x:v>explicitement listée</x:v>
      </x:c>
      <x:c r="I144" s="53" t="str"/>
    </x:row>
    <x:row r="145">
      <x:c r="A145" s="55" t="str">
        <x:v>141</x:v>
      </x:c>
      <x:c r="B145" s="53" t="str">
        <x:v>Event id=72</x:v>
      </x:c>
      <x:c r="C145" s="53" t="str"/>
      <x:c r="D145" s="55" t="str">
        <x:v>non précisé dans les fichiers examinés</x:v>
      </x:c>
      <x:c r="E145" s="53" t="str">
        <x:v>Event / photographie horodatée</x:v>
      </x:c>
      <x:c r="F145" s="53" t="str">
        <x:v>Présence quotidienne, sortie, activité ou milieu familial paternel; détail non précisé dans les extraits examinés</x:v>
      </x:c>
      <x:c r="G145" s="53" t="str">
        <x:v>Axe présence quotidienne — inventaire complet; Catalogue §6-C</x:v>
      </x:c>
      <x:c r="H145" s="53" t="str">
        <x:v>explicitement listée</x:v>
      </x:c>
      <x:c r="I145" s="53" t="str"/>
    </x:row>
    <x:row r="146">
      <x:c r="A146" s="55" t="str">
        <x:v>142</x:v>
      </x:c>
      <x:c r="B146" s="53" t="str">
        <x:v>Event id=75</x:v>
      </x:c>
      <x:c r="C146" s="53" t="str"/>
      <x:c r="D146" s="55" t="str">
        <x:v>2011-06-18</x:v>
      </x:c>
      <x:c r="E146" s="53" t="str">
        <x:v>Event / photographie horodatée</x:v>
      </x:c>
      <x:c r="F146" s="53" t="str">
        <x:v>Parc Alexandra</x:v>
      </x:c>
      <x:c r="G146" s="53" t="str">
        <x:v>Axe présence quotidienne — inventaire complet; Catalogue §6-C</x:v>
      </x:c>
      <x:c r="H146" s="53" t="str">
        <x:v>explicitement listée</x:v>
      </x:c>
      <x:c r="I146" s="53" t="str"/>
    </x:row>
    <x:row r="147">
      <x:c r="A147" s="55" t="str">
        <x:v>143</x:v>
      </x:c>
      <x:c r="B147" s="53" t="str">
        <x:v>Event id=76</x:v>
      </x:c>
      <x:c r="C147" s="53" t="str"/>
      <x:c r="D147" s="55" t="str">
        <x:v>2011-06-18</x:v>
      </x:c>
      <x:c r="E147" s="53" t="str">
        <x:v>Event / photographie horodatée</x:v>
      </x:c>
      <x:c r="F147" s="53" t="str">
        <x:v>Deuxième sortie au parc le même jour</x:v>
      </x:c>
      <x:c r="G147" s="53" t="str">
        <x:v>Axe présence quotidienne — inventaire complet; Catalogue §6-C</x:v>
      </x:c>
      <x:c r="H147" s="53" t="str">
        <x:v>explicitement listée</x:v>
      </x:c>
      <x:c r="I147" s="53" t="str"/>
    </x:row>
    <x:row r="148">
      <x:c r="A148" s="55" t="str">
        <x:v>144</x:v>
      </x:c>
      <x:c r="B148" s="53" t="str">
        <x:v>Event id=77</x:v>
      </x:c>
      <x:c r="C148" s="53" t="str"/>
      <x:c r="D148" s="55" t="str">
        <x:v>non précisé dans les fichiers examinés</x:v>
      </x:c>
      <x:c r="E148" s="53" t="str">
        <x:v>Event / photographie horodatée</x:v>
      </x:c>
      <x:c r="F148" s="53" t="str">
        <x:v>Présence quotidienne, sortie, activité ou milieu familial paternel; détail non précisé dans les extraits examinés</x:v>
      </x:c>
      <x:c r="G148" s="53" t="str">
        <x:v>Axe présence quotidienne — inventaire complet; Catalogue §6-C</x:v>
      </x:c>
      <x:c r="H148" s="53" t="str">
        <x:v>explicitement listée</x:v>
      </x:c>
      <x:c r="I148" s="53" t="str"/>
    </x:row>
    <x:row r="149">
      <x:c r="A149" s="55" t="str">
        <x:v>145</x:v>
      </x:c>
      <x:c r="B149" s="53" t="str">
        <x:v>Event id=79</x:v>
      </x:c>
      <x:c r="C149" s="53" t="str"/>
      <x:c r="D149" s="55" t="str">
        <x:v>2011-06-24</x:v>
      </x:c>
      <x:c r="E149" s="53" t="str">
        <x:v>Event / photographie horodatée</x:v>
      </x:c>
      <x:c r="F149" s="53" t="str">
        <x:v>Parc Alexandra</x:v>
      </x:c>
      <x:c r="G149" s="53" t="str">
        <x:v>Axe présence quotidienne — inventaire complet; Catalogue §6-C</x:v>
      </x:c>
      <x:c r="H149" s="53" t="str">
        <x:v>explicitement listée</x:v>
      </x:c>
      <x:c r="I149" s="53" t="str"/>
    </x:row>
    <x:row r="150">
      <x:c r="A150" s="55" t="str">
        <x:v>146</x:v>
      </x:c>
      <x:c r="B150" s="53" t="str">
        <x:v>Event id=80</x:v>
      </x:c>
      <x:c r="C150" s="53" t="str"/>
      <x:c r="D150" s="55" t="str">
        <x:v>2011-06-25</x:v>
      </x:c>
      <x:c r="E150" s="53" t="str">
        <x:v>Event / photographie horodatée</x:v>
      </x:c>
      <x:c r="F150" s="53" t="str">
        <x:v>Parc Alexandra</x:v>
      </x:c>
      <x:c r="G150" s="53" t="str">
        <x:v>Axe présence quotidienne — inventaire complet; Catalogue §6-C</x:v>
      </x:c>
      <x:c r="H150" s="53" t="str">
        <x:v>explicitement listée</x:v>
      </x:c>
      <x:c r="I150" s="53" t="str"/>
    </x:row>
    <x:row r="151">
      <x:c r="A151" s="55" t="str">
        <x:v>147</x:v>
      </x:c>
      <x:c r="B151" s="53" t="str">
        <x:v>Event id=82</x:v>
      </x:c>
      <x:c r="C151" s="53" t="str"/>
      <x:c r="D151" s="55" t="str">
        <x:v>2011-07-01</x:v>
      </x:c>
      <x:c r="E151" s="53" t="str">
        <x:v>Event / photographie horodatée</x:v>
      </x:c>
      <x:c r="F151" s="53" t="str">
        <x:v>Parc Alexandra</x:v>
      </x:c>
      <x:c r="G151" s="53" t="str">
        <x:v>Axe présence quotidienne — inventaire complet; Catalogue §6-C</x:v>
      </x:c>
      <x:c r="H151" s="53" t="str">
        <x:v>explicitement listée</x:v>
      </x:c>
      <x:c r="I151" s="53" t="str"/>
    </x:row>
    <x:row r="152">
      <x:c r="A152" s="55" t="str">
        <x:v>148</x:v>
      </x:c>
      <x:c r="B152" s="53" t="str">
        <x:v>Event id=83</x:v>
      </x:c>
      <x:c r="C152" s="53" t="str"/>
      <x:c r="D152" s="55" t="str">
        <x:v>2011-07-02</x:v>
      </x:c>
      <x:c r="E152" s="53" t="str">
        <x:v>Event / photographie horodatée</x:v>
      </x:c>
      <x:c r="F152" s="53" t="str">
        <x:v>Parc Alexandra</x:v>
      </x:c>
      <x:c r="G152" s="53" t="str">
        <x:v>Axe présence quotidienne — inventaire complet; Catalogue §6-C</x:v>
      </x:c>
      <x:c r="H152" s="53" t="str">
        <x:v>explicitement listée</x:v>
      </x:c>
      <x:c r="I152" s="53" t="str"/>
    </x:row>
    <x:row r="153">
      <x:c r="A153" s="55" t="str">
        <x:v>149</x:v>
      </x:c>
      <x:c r="B153" s="53" t="str">
        <x:v>Event id=84</x:v>
      </x:c>
      <x:c r="C153" s="53" t="str"/>
      <x:c r="D153" s="55" t="str">
        <x:v>2011-07-02</x:v>
      </x:c>
      <x:c r="E153" s="53" t="str">
        <x:v>Event / photographie horodatée</x:v>
      </x:c>
      <x:c r="F153" s="53" t="str">
        <x:v>Parc Dulwich</x:v>
      </x:c>
      <x:c r="G153" s="53" t="str">
        <x:v>Axe présence quotidienne — inventaire complet; Catalogue §6-C</x:v>
      </x:c>
      <x:c r="H153" s="53" t="str">
        <x:v>explicitement listée</x:v>
      </x:c>
      <x:c r="I153" s="53" t="str"/>
    </x:row>
    <x:row r="154">
      <x:c r="A154" s="55" t="str">
        <x:v>150</x:v>
      </x:c>
      <x:c r="B154" s="53" t="str">
        <x:v>Event id=87</x:v>
      </x:c>
      <x:c r="C154" s="53" t="str"/>
      <x:c r="D154" s="55" t="str">
        <x:v>non précisé dans les fichiers examinés</x:v>
      </x:c>
      <x:c r="E154" s="53" t="str">
        <x:v>Event / photographie horodatée</x:v>
      </x:c>
      <x:c r="F154" s="53" t="str">
        <x:v>Présence quotidienne, sortie, activité ou milieu familial paternel; détail non précisé dans les extraits examinés</x:v>
      </x:c>
      <x:c r="G154" s="53" t="str">
        <x:v>Axe présence quotidienne — inventaire complet; Catalogue §6-C</x:v>
      </x:c>
      <x:c r="H154" s="53" t="str">
        <x:v>explicitement listée</x:v>
      </x:c>
      <x:c r="I154" s="53" t="str"/>
    </x:row>
    <x:row r="155">
      <x:c r="A155" s="55" t="str">
        <x:v>151</x:v>
      </x:c>
      <x:c r="B155" s="53" t="str">
        <x:v>Event id=88</x:v>
      </x:c>
      <x:c r="C155" s="53" t="str"/>
      <x:c r="D155" s="55" t="str">
        <x:v>2011-07-24</x:v>
      </x:c>
      <x:c r="E155" s="53" t="str">
        <x:v>Event / photographie horodatée</x:v>
      </x:c>
      <x:c r="F155" s="53" t="str">
        <x:v>Parc Alexandra en famille</x:v>
      </x:c>
      <x:c r="G155" s="53" t="str">
        <x:v>Axe présence quotidienne — inventaire complet; Catalogue §6-C</x:v>
      </x:c>
      <x:c r="H155" s="53" t="str">
        <x:v>explicitement listée</x:v>
      </x:c>
      <x:c r="I155" s="53" t="str"/>
    </x:row>
    <x:row r="156">
      <x:c r="A156" s="55" t="str">
        <x:v>152</x:v>
      </x:c>
      <x:c r="B156" s="53" t="str">
        <x:v>Event id=89</x:v>
      </x:c>
      <x:c r="C156" s="53" t="str"/>
      <x:c r="D156" s="55" t="str">
        <x:v>non précisé dans les fichiers examinés</x:v>
      </x:c>
      <x:c r="E156" s="53" t="str">
        <x:v>Event / photographie horodatée</x:v>
      </x:c>
      <x:c r="F156" s="53" t="str">
        <x:v>Présence quotidienne, sortie, activité ou milieu familial paternel; détail non précisé dans les extraits examinés</x:v>
      </x:c>
      <x:c r="G156" s="53" t="str">
        <x:v>Axe présence quotidienne — inventaire complet; Catalogue §6-C</x:v>
      </x:c>
      <x:c r="H156" s="53" t="str">
        <x:v>explicitement listée</x:v>
      </x:c>
      <x:c r="I156" s="53" t="str"/>
    </x:row>
    <x:row r="157">
      <x:c r="A157" s="55" t="str">
        <x:v>153</x:v>
      </x:c>
      <x:c r="B157" s="53" t="str">
        <x:v>Event id=91</x:v>
      </x:c>
      <x:c r="C157" s="53" t="str"/>
      <x:c r="D157" s="55" t="str">
        <x:v>non précisé dans les fichiers examinés</x:v>
      </x:c>
      <x:c r="E157" s="53" t="str">
        <x:v>Event / photographie horodatée</x:v>
      </x:c>
      <x:c r="F157" s="53" t="str">
        <x:v>Présence quotidienne, sortie, activité ou milieu familial paternel; détail non précisé dans les extraits examinés</x:v>
      </x:c>
      <x:c r="G157" s="53" t="str">
        <x:v>Axe présence quotidienne — inventaire complet; Catalogue §6-C</x:v>
      </x:c>
      <x:c r="H157" s="53" t="str">
        <x:v>explicitement listée</x:v>
      </x:c>
      <x:c r="I157" s="53" t="str"/>
    </x:row>
    <x:row r="158">
      <x:c r="A158" s="55" t="str">
        <x:v>154</x:v>
      </x:c>
      <x:c r="B158" s="53" t="str">
        <x:v>Event id=106</x:v>
      </x:c>
      <x:c r="C158" s="53" t="str"/>
      <x:c r="D158" s="55" t="str">
        <x:v>2011-08-19</x:v>
      </x:c>
      <x:c r="E158" s="53" t="str">
        <x:v>Event / photographie horodatée</x:v>
      </x:c>
      <x:c r="F158" s="53" t="str">
        <x:v>Zoo de Granby</x:v>
      </x:c>
      <x:c r="G158" s="53" t="str">
        <x:v>Axe présence quotidienne — inventaire complet; Catalogue §6-C</x:v>
      </x:c>
      <x:c r="H158" s="53" t="str">
        <x:v>explicitement listée</x:v>
      </x:c>
      <x:c r="I158" s="53" t="str"/>
    </x:row>
    <x:row r="159">
      <x:c r="A159" s="55" t="str">
        <x:v>155</x:v>
      </x:c>
      <x:c r="B159" s="53" t="str">
        <x:v>Event id=107</x:v>
      </x:c>
      <x:c r="C159" s="53" t="str"/>
      <x:c r="D159" s="55" t="str">
        <x:v>2011-09-04</x:v>
      </x:c>
      <x:c r="E159" s="53" t="str">
        <x:v>Event / photographie horodatée</x:v>
      </x:c>
      <x:c r="F159" s="53" t="str">
        <x:v>Festival de Longueuil</x:v>
      </x:c>
      <x:c r="G159" s="53" t="str">
        <x:v>Axe présence quotidienne — inventaire complet; Catalogue §6-C</x:v>
      </x:c>
      <x:c r="H159" s="53" t="str">
        <x:v>explicitement listée</x:v>
      </x:c>
      <x:c r="I159" s="53" t="str"/>
    </x:row>
    <x:row r="160">
      <x:c r="A160" s="55" t="str">
        <x:v>156</x:v>
      </x:c>
      <x:c r="B160" s="53" t="str">
        <x:v>Event id=109</x:v>
      </x:c>
      <x:c r="C160" s="53" t="str"/>
      <x:c r="D160" s="55" t="str">
        <x:v>non précisé dans les fichiers examinés</x:v>
      </x:c>
      <x:c r="E160" s="53" t="str">
        <x:v>Event / photographie horodatée</x:v>
      </x:c>
      <x:c r="F160" s="53" t="str">
        <x:v>Présence quotidienne, sortie, activité ou milieu familial paternel; détail non précisé dans les extraits examinés</x:v>
      </x:c>
      <x:c r="G160" s="53" t="str">
        <x:v>Axe présence quotidienne — inventaire complet; Catalogue §6-C</x:v>
      </x:c>
      <x:c r="H160" s="53" t="str">
        <x:v>explicitement listée</x:v>
      </x:c>
      <x:c r="I160" s="53" t="str"/>
    </x:row>
    <x:row r="161">
      <x:c r="A161" s="55" t="str">
        <x:v>157</x:v>
      </x:c>
      <x:c r="B161" s="53" t="str">
        <x:v>Event id=135</x:v>
      </x:c>
      <x:c r="C161" s="53" t="str"/>
      <x:c r="D161" s="55" t="str">
        <x:v>2011-12-10</x:v>
      </x:c>
      <x:c r="E161" s="53" t="str">
        <x:v>Event / photographie horodatée</x:v>
      </x:c>
      <x:c r="F161" s="53" t="str">
        <x:v>Visite à Dunham</x:v>
      </x:c>
      <x:c r="G161" s="53" t="str">
        <x:v>Axe présence quotidienne — inventaire complet; Catalogue §6-C</x:v>
      </x:c>
      <x:c r="H161" s="53" t="str">
        <x:v>explicitement listée</x:v>
      </x:c>
      <x:c r="I161" s="53" t="str"/>
    </x:row>
    <x:row r="162">
      <x:c r="A162" s="55" t="str">
        <x:v>158</x:v>
      </x:c>
      <x:c r="B162" s="53" t="str">
        <x:v>Event id=136</x:v>
      </x:c>
      <x:c r="C162" s="53" t="str"/>
      <x:c r="D162" s="55" t="str">
        <x:v>2011-12-11</x:v>
      </x:c>
      <x:c r="E162" s="53" t="str">
        <x:v>Event / photographie horodatée</x:v>
      </x:c>
      <x:c r="F162" s="53" t="str">
        <x:v>Cours d’AcroGym</x:v>
      </x:c>
      <x:c r="G162" s="53" t="str">
        <x:v>Axe présence quotidienne — inventaire complet; Catalogue §6-C</x:v>
      </x:c>
      <x:c r="H162" s="53" t="str">
        <x:v>explicitement listée</x:v>
      </x:c>
      <x:c r="I162" s="53" t="str"/>
    </x:row>
    <x:row r="163">
      <x:c r="A163" s="55" t="str">
        <x:v>159</x:v>
      </x:c>
      <x:c r="B163" s="53" t="str">
        <x:v>Event id=140</x:v>
      </x:c>
      <x:c r="C163" s="53" t="str"/>
      <x:c r="D163" s="55" t="str">
        <x:v>non précisé dans les fichiers examinés</x:v>
      </x:c>
      <x:c r="E163" s="53" t="str">
        <x:v>Event / photographie horodatée</x:v>
      </x:c>
      <x:c r="F163" s="53" t="str">
        <x:v>Repas/fête dans la famille paternelle</x:v>
      </x:c>
      <x:c r="G163" s="53" t="str">
        <x:v>Axe présence quotidienne — inventaire complet; Catalogue §6-C</x:v>
      </x:c>
      <x:c r="H163" s="53" t="str">
        <x:v>explicitement listée</x:v>
      </x:c>
      <x:c r="I163" s="53" t="str"/>
    </x:row>
    <x:row r="164">
      <x:c r="A164" s="55" t="str">
        <x:v>160</x:v>
      </x:c>
      <x:c r="B164" s="53" t="str">
        <x:v>Event id=141</x:v>
      </x:c>
      <x:c r="C164" s="53" t="str"/>
      <x:c r="D164" s="55" t="str">
        <x:v>non précisé dans les fichiers examinés</x:v>
      </x:c>
      <x:c r="E164" s="53" t="str">
        <x:v>Event / photographie horodatée</x:v>
      </x:c>
      <x:c r="F164" s="53" t="str">
        <x:v>Présence quotidienne, sortie, activité ou milieu familial paternel; détail non précisé dans les extraits examinés</x:v>
      </x:c>
      <x:c r="G164" s="53" t="str">
        <x:v>Axe présence quotidienne — inventaire complet; Catalogue §6-C</x:v>
      </x:c>
      <x:c r="H164" s="53" t="str">
        <x:v>explicitement listée</x:v>
      </x:c>
      <x:c r="I164" s="53" t="str"/>
    </x:row>
    <x:row r="165">
      <x:c r="A165" s="55" t="str">
        <x:v>161</x:v>
      </x:c>
      <x:c r="B165" s="53" t="str">
        <x:v>Event id=150</x:v>
      </x:c>
      <x:c r="C165" s="53" t="str"/>
      <x:c r="D165" s="55" t="str">
        <x:v>2012-01-29</x:v>
      </x:c>
      <x:c r="E165" s="53" t="str">
        <x:v>Event / photographie horodatée</x:v>
      </x:c>
      <x:c r="F165" s="53" t="str">
        <x:v>Cours d’AcroGym</x:v>
      </x:c>
      <x:c r="G165" s="53" t="str">
        <x:v>Axe présence quotidienne — inventaire complet; Catalogue §6-C</x:v>
      </x:c>
      <x:c r="H165" s="53" t="str">
        <x:v>explicitement listée</x:v>
      </x:c>
      <x:c r="I165" s="53" t="str"/>
    </x:row>
    <x:row r="166">
      <x:c r="A166" s="55" t="str">
        <x:v>162</x:v>
      </x:c>
      <x:c r="B166" s="53" t="str">
        <x:v>Event id=166</x:v>
      </x:c>
      <x:c r="C166" s="53" t="str"/>
      <x:c r="D166" s="55" t="str">
        <x:v>2012-03-31</x:v>
      </x:c>
      <x:c r="E166" s="53" t="str">
        <x:v>Event / photographie horodatée</x:v>
      </x:c>
      <x:c r="F166" s="53" t="str">
        <x:v>Jeu à domicile et vélo</x:v>
      </x:c>
      <x:c r="G166" s="53" t="str">
        <x:v>Axe présence quotidienne — inventaire complet; Catalogue §6-C</x:v>
      </x:c>
      <x:c r="H166" s="53" t="str">
        <x:v>explicitement listée</x:v>
      </x:c>
      <x:c r="I166" s="53" t="str"/>
    </x:row>
    <x:row r="167">
      <x:c r="A167" s="55" t="str">
        <x:v>163</x:v>
      </x:c>
      <x:c r="B167" s="53" t="str">
        <x:v>Event id=171</x:v>
      </x:c>
      <x:c r="C167" s="53" t="str"/>
      <x:c r="D167" s="55" t="str">
        <x:v>2012-04-14</x:v>
      </x:c>
      <x:c r="E167" s="53" t="str">
        <x:v>Event / photographie horodatée</x:v>
      </x:c>
      <x:c r="F167" s="53" t="str">
        <x:v>Parc Alexandra</x:v>
      </x:c>
      <x:c r="G167" s="53" t="str">
        <x:v>Axe présence quotidienne — inventaire complet; Catalogue §6-C</x:v>
      </x:c>
      <x:c r="H167" s="53" t="str">
        <x:v>explicitement listée</x:v>
      </x:c>
      <x:c r="I167" s="53" t="str"/>
    </x:row>
    <x:row r="168">
      <x:c r="A168" s="55" t="str">
        <x:v>164</x:v>
      </x:c>
      <x:c r="B168" s="53" t="str">
        <x:v>Event id=172</x:v>
      </x:c>
      <x:c r="C168" s="53" t="str"/>
      <x:c r="D168" s="55" t="str">
        <x:v>2012-04-15</x:v>
      </x:c>
      <x:c r="E168" s="53" t="str">
        <x:v>Event / photographie horodatée</x:v>
      </x:c>
      <x:c r="F168" s="53" t="str">
        <x:v>Parc et cabane à sucre</x:v>
      </x:c>
      <x:c r="G168" s="53" t="str">
        <x:v>Axe présence quotidienne — inventaire complet; Catalogue §6-C</x:v>
      </x:c>
      <x:c r="H168" s="53" t="str">
        <x:v>explicitement listée</x:v>
      </x:c>
      <x:c r="I168" s="53" t="str"/>
    </x:row>
    <x:row r="169">
      <x:c r="A169" s="55" t="str">
        <x:v>165</x:v>
      </x:c>
      <x:c r="B169" s="53" t="str">
        <x:v>Event id=178</x:v>
      </x:c>
      <x:c r="C169" s="53" t="str"/>
      <x:c r="D169" s="55" t="str">
        <x:v>non précisé dans les fichiers examinés</x:v>
      </x:c>
      <x:c r="E169" s="53" t="str">
        <x:v>Event / photographie horodatée</x:v>
      </x:c>
      <x:c r="F169" s="53" t="str">
        <x:v>Présence quotidienne, sortie, activité ou milieu familial paternel; détail non précisé dans les extraits examinés</x:v>
      </x:c>
      <x:c r="G169" s="53" t="str">
        <x:v>Axe présence quotidienne — inventaire complet; Catalogue §6-C</x:v>
      </x:c>
      <x:c r="H169" s="53" t="str">
        <x:v>explicitement listée</x:v>
      </x:c>
      <x:c r="I169" s="53" t="str"/>
    </x:row>
    <x:row r="170">
      <x:c r="A170" s="55" t="str">
        <x:v>166</x:v>
      </x:c>
      <x:c r="B170" s="53" t="str">
        <x:v>Event id=179</x:v>
      </x:c>
      <x:c r="C170" s="53" t="str"/>
      <x:c r="D170" s="55" t="str">
        <x:v>non précisé dans les fichiers examinés</x:v>
      </x:c>
      <x:c r="E170" s="53" t="str">
        <x:v>Event / photographie horodatée</x:v>
      </x:c>
      <x:c r="F170" s="53" t="str">
        <x:v>Présence quotidienne, sortie, activité ou milieu familial paternel; détail non précisé dans les extraits examinés</x:v>
      </x:c>
      <x:c r="G170" s="53" t="str">
        <x:v>Axe présence quotidienne — inventaire complet; Catalogue §6-C</x:v>
      </x:c>
      <x:c r="H170" s="53" t="str">
        <x:v>explicitement listée</x:v>
      </x:c>
      <x:c r="I170" s="53" t="str"/>
    </x:row>
    <x:row r="171">
      <x:c r="A171" s="55" t="str">
        <x:v>167</x:v>
      </x:c>
      <x:c r="B171" s="53" t="str">
        <x:v>Event id=180</x:v>
      </x:c>
      <x:c r="C171" s="53" t="str"/>
      <x:c r="D171" s="55" t="str">
        <x:v>2012-05-13</x:v>
      </x:c>
      <x:c r="E171" s="53" t="str">
        <x:v>Event / photographie horodatée</x:v>
      </x:c>
      <x:c r="F171" s="53" t="str">
        <x:v>Parc Alexandra</x:v>
      </x:c>
      <x:c r="G171" s="53" t="str">
        <x:v>Axe présence quotidienne — inventaire complet; Catalogue §6-C</x:v>
      </x:c>
      <x:c r="H171" s="53" t="str">
        <x:v>explicitement listée</x:v>
      </x:c>
      <x:c r="I171" s="53" t="str"/>
    </x:row>
    <x:row r="172">
      <x:c r="A172" s="55" t="str">
        <x:v>168</x:v>
      </x:c>
      <x:c r="B172" s="53" t="str">
        <x:v>Event id=185</x:v>
      </x:c>
      <x:c r="C172" s="53" t="str"/>
      <x:c r="D172" s="55" t="str">
        <x:v>2012-05-26</x:v>
      </x:c>
      <x:c r="E172" s="53" t="str">
        <x:v>Event / photographie horodatée</x:v>
      </x:c>
      <x:c r="F172" s="53" t="str">
        <x:v>Visite à Dunham</x:v>
      </x:c>
      <x:c r="G172" s="53" t="str">
        <x:v>Axe présence quotidienne — inventaire complet; Catalogue §6-C</x:v>
      </x:c>
      <x:c r="H172" s="53" t="str">
        <x:v>explicitement listée</x:v>
      </x:c>
      <x:c r="I172" s="53" t="str"/>
    </x:row>
    <x:row r="173">
      <x:c r="A173" s="55" t="str">
        <x:v>169</x:v>
      </x:c>
      <x:c r="B173" s="53" t="str">
        <x:v>Event id=188</x:v>
      </x:c>
      <x:c r="C173" s="53" t="str"/>
      <x:c r="D173" s="55" t="str">
        <x:v>non précisé dans les fichiers examinés</x:v>
      </x:c>
      <x:c r="E173" s="53" t="str">
        <x:v>Event / photographie horodatée</x:v>
      </x:c>
      <x:c r="F173" s="53" t="str">
        <x:v>Présence quotidienne, sortie, activité ou milieu familial paternel; détail non précisé dans les extraits examinés</x:v>
      </x:c>
      <x:c r="G173" s="53" t="str">
        <x:v>Axe présence quotidienne — inventaire complet; Catalogue §6-C</x:v>
      </x:c>
      <x:c r="H173" s="53" t="str">
        <x:v>explicitement listée</x:v>
      </x:c>
      <x:c r="I173" s="53" t="str"/>
    </x:row>
    <x:row r="174">
      <x:c r="A174" s="55" t="str">
        <x:v>170</x:v>
      </x:c>
      <x:c r="B174" s="53" t="str">
        <x:v>Event id=190</x:v>
      </x:c>
      <x:c r="C174" s="53" t="str"/>
      <x:c r="D174" s="55" t="str">
        <x:v>non précisé dans les fichiers examinés</x:v>
      </x:c>
      <x:c r="E174" s="53" t="str">
        <x:v>Event / photographie horodatée</x:v>
      </x:c>
      <x:c r="F174" s="53" t="str">
        <x:v>Présence quotidienne, sortie, activité ou milieu familial paternel; détail non précisé dans les extraits examinés</x:v>
      </x:c>
      <x:c r="G174" s="53" t="str">
        <x:v>Axe présence quotidienne — inventaire complet; Catalogue §6-C</x:v>
      </x:c>
      <x:c r="H174" s="53" t="str">
        <x:v>explicitement listée</x:v>
      </x:c>
      <x:c r="I174" s="53" t="str"/>
    </x:row>
    <x:row r="175">
      <x:c r="A175" s="55" t="str">
        <x:v>171</x:v>
      </x:c>
      <x:c r="B175" s="53" t="str">
        <x:v>Event id=216</x:v>
      </x:c>
      <x:c r="C175" s="53" t="str"/>
      <x:c r="D175" s="55" t="str">
        <x:v>non précisé dans les fichiers examinés</x:v>
      </x:c>
      <x:c r="E175" s="53" t="str">
        <x:v>Event / photographie horodatée</x:v>
      </x:c>
      <x:c r="F175" s="53" t="str">
        <x:v>Présence quotidienne, sortie, activité ou milieu familial paternel; détail non précisé dans les extraits examinés</x:v>
      </x:c>
      <x:c r="G175" s="53" t="str">
        <x:v>Axe présence quotidienne — inventaire complet; Catalogue §6-C</x:v>
      </x:c>
      <x:c r="H175" s="53" t="str">
        <x:v>explicitement listée</x:v>
      </x:c>
      <x:c r="I175" s="53" t="str"/>
    </x:row>
    <x:row r="176">
      <x:c r="A176" s="55" t="str">
        <x:v>172</x:v>
      </x:c>
      <x:c r="B176" s="53" t="str">
        <x:v>Event id=222</x:v>
      </x:c>
      <x:c r="C176" s="53" t="str"/>
      <x:c r="D176" s="55" t="str">
        <x:v>non précisé dans les fichiers examinés</x:v>
      </x:c>
      <x:c r="E176" s="53" t="str">
        <x:v>Event / photographie horodatée</x:v>
      </x:c>
      <x:c r="F176" s="53" t="str">
        <x:v>Présence quotidienne, sortie, activité ou milieu familial paternel; détail non précisé dans les extraits examinés</x:v>
      </x:c>
      <x:c r="G176" s="53" t="str">
        <x:v>Axe présence quotidienne — inventaire complet; Catalogue §6-C</x:v>
      </x:c>
      <x:c r="H176" s="53" t="str">
        <x:v>explicitement listée</x:v>
      </x:c>
      <x:c r="I176" s="53" t="str"/>
    </x:row>
    <x:row r="177">
      <x:c r="A177" s="55" t="str">
        <x:v>173</x:v>
      </x:c>
      <x:c r="B177" s="53" t="str">
        <x:v>Event id=234</x:v>
      </x:c>
      <x:c r="C177" s="53" t="str"/>
      <x:c r="D177" s="55" t="str">
        <x:v>2013-05-05</x:v>
      </x:c>
      <x:c r="E177" s="53" t="str">
        <x:v>Event / photographie horodatée</x:v>
      </x:c>
      <x:c r="F177" s="53" t="str">
        <x:v>Vélo à l’Île Sainte-Hélène</x:v>
      </x:c>
      <x:c r="G177" s="53" t="str">
        <x:v>Axe présence quotidienne — inventaire complet; Catalogue §6-C</x:v>
      </x:c>
      <x:c r="H177" s="53" t="str">
        <x:v>explicitement listée</x:v>
      </x:c>
      <x:c r="I177" s="53" t="str"/>
    </x:row>
    <x:row r="178">
      <x:c r="A178" s="55" t="str">
        <x:v>174</x:v>
      </x:c>
      <x:c r="B178" s="53" t="str">
        <x:v>Event id=235</x:v>
      </x:c>
      <x:c r="C178" s="53" t="str"/>
      <x:c r="D178" s="55" t="str">
        <x:v>2013-05-17</x:v>
      </x:c>
      <x:c r="E178" s="53" t="str">
        <x:v>Event / photographie horodatée</x:v>
      </x:c>
      <x:c r="F178" s="53" t="str">
        <x:v>Parc Alexandra</x:v>
      </x:c>
      <x:c r="G178" s="53" t="str">
        <x:v>Axe présence quotidienne — inventaire complet; Catalogue §6-C</x:v>
      </x:c>
      <x:c r="H178" s="53" t="str">
        <x:v>explicitement listée</x:v>
      </x:c>
      <x:c r="I178" s="53" t="str"/>
    </x:row>
    <x:row r="179">
      <x:c r="A179" s="55" t="str">
        <x:v>175</x:v>
      </x:c>
      <x:c r="B179" s="53" t="str">
        <x:v>Event id=237</x:v>
      </x:c>
      <x:c r="C179" s="53" t="str"/>
      <x:c r="D179" s="55" t="str">
        <x:v>2013-05-18</x:v>
      </x:c>
      <x:c r="E179" s="53" t="str">
        <x:v>Event / photographie horodatée</x:v>
      </x:c>
      <x:c r="F179" s="53" t="str">
        <x:v>Parc L’Espérance</x:v>
      </x:c>
      <x:c r="G179" s="53" t="str">
        <x:v>Axe présence quotidienne — inventaire complet; Catalogue §6-C</x:v>
      </x:c>
      <x:c r="H179" s="53" t="str">
        <x:v>explicitement listée</x:v>
      </x:c>
      <x:c r="I179" s="53" t="str"/>
    </x:row>
    <x:row r="180">
      <x:c r="A180" s="55" t="str">
        <x:v>176</x:v>
      </x:c>
      <x:c r="B180" s="53" t="str">
        <x:v>Event id=240</x:v>
      </x:c>
      <x:c r="C180" s="53" t="str"/>
      <x:c r="D180" s="55" t="str">
        <x:v>2013-05-31</x:v>
      </x:c>
      <x:c r="E180" s="53" t="str">
        <x:v>Event / photographie horodatée</x:v>
      </x:c>
      <x:c r="F180" s="53" t="str">
        <x:v>Parc L’Espérance</x:v>
      </x:c>
      <x:c r="G180" s="53" t="str">
        <x:v>Axe présence quotidienne — inventaire complet; Catalogue §6-C</x:v>
      </x:c>
      <x:c r="H180" s="53" t="str">
        <x:v>explicitement listée</x:v>
      </x:c>
      <x:c r="I180" s="53" t="str"/>
    </x:row>
    <x:row r="181">
      <x:c r="A181" s="55" t="str">
        <x:v>177</x:v>
      </x:c>
      <x:c r="B181" s="53" t="str">
        <x:v>Event id=244</x:v>
      </x:c>
      <x:c r="C181" s="53" t="str"/>
      <x:c r="D181" s="55" t="str">
        <x:v>2013-07-01</x:v>
      </x:c>
      <x:c r="E181" s="53" t="str">
        <x:v>Event / photographie horodatée</x:v>
      </x:c>
      <x:c r="F181" s="53" t="str">
        <x:v>Festival de Jazz en famille</x:v>
      </x:c>
      <x:c r="G181" s="53" t="str">
        <x:v>Axe présence quotidienne — inventaire complet; Catalogue §6-C</x:v>
      </x:c>
      <x:c r="H181" s="53" t="str">
        <x:v>explicitement listée</x:v>
      </x:c>
      <x:c r="I181" s="53" t="str"/>
    </x:row>
    <x:row r="182">
      <x:c r="A182" s="55" t="str">
        <x:v>178</x:v>
      </x:c>
      <x:c r="B182" s="53" t="str">
        <x:v>Event id=246</x:v>
      </x:c>
      <x:c r="C182" s="53" t="str"/>
      <x:c r="D182" s="55" t="str">
        <x:v>2013-07-04</x:v>
      </x:c>
      <x:c r="E182" s="53" t="str">
        <x:v>Event / photographie horodatée</x:v>
      </x:c>
      <x:c r="F182" s="53" t="str">
        <x:v>Glissades d’eau en famille</x:v>
      </x:c>
      <x:c r="G182" s="53" t="str">
        <x:v>Axe présence quotidienne — inventaire complet; Catalogue §6-C</x:v>
      </x:c>
      <x:c r="H182" s="53" t="str">
        <x:v>explicitement listée</x:v>
      </x:c>
      <x:c r="I182" s="53" t="str"/>
    </x:row>
    <x:row r="183">
      <x:c r="A183" s="55" t="str">
        <x:v>179</x:v>
      </x:c>
      <x:c r="B183" s="53" t="str">
        <x:v>Event id=249</x:v>
      </x:c>
      <x:c r="C183" s="53" t="str"/>
      <x:c r="D183" s="55" t="str">
        <x:v>2013-07-09</x:v>
      </x:c>
      <x:c r="E183" s="53" t="str">
        <x:v>Event / photographie horodatée</x:v>
      </x:c>
      <x:c r="F183" s="53" t="str">
        <x:v>Anniversaire</x:v>
      </x:c>
      <x:c r="G183" s="53" t="str">
        <x:v>Axe présence quotidienne — inventaire complet; Catalogue §6-C</x:v>
      </x:c>
      <x:c r="H183" s="53" t="str">
        <x:v>explicitement listée</x:v>
      </x:c>
      <x:c r="I183" s="53" t="str"/>
    </x:row>
    <x:row r="184">
      <x:c r="A184" s="55" t="str">
        <x:v>180</x:v>
      </x:c>
      <x:c r="B184" s="53" t="str">
        <x:v>Event id=254</x:v>
      </x:c>
      <x:c r="C184" s="53" t="str"/>
      <x:c r="D184" s="55" t="str">
        <x:v>2013-07-13</x:v>
      </x:c>
      <x:c r="E184" s="53" t="str">
        <x:v>Event / photographie horodatée</x:v>
      </x:c>
      <x:c r="F184" s="53" t="str">
        <x:v>Voilier des grands-parents</x:v>
      </x:c>
      <x:c r="G184" s="53" t="str">
        <x:v>Axe présence quotidienne — inventaire complet; Catalogue §6-C</x:v>
      </x:c>
      <x:c r="H184" s="53" t="str">
        <x:v>explicitement listée</x:v>
      </x:c>
      <x:c r="I184" s="53" t="str"/>
    </x:row>
    <x:row r="185">
      <x:c r="A185" s="55" t="str">
        <x:v>181</x:v>
      </x:c>
      <x:c r="B185" s="53" t="str">
        <x:v>Event id=255</x:v>
      </x:c>
      <x:c r="C185" s="53" t="str"/>
      <x:c r="D185" s="55" t="str">
        <x:v>2013-07-14</x:v>
      </x:c>
      <x:c r="E185" s="53" t="str">
        <x:v>Event / photographie horodatée</x:v>
      </x:c>
      <x:c r="F185" s="53" t="str">
        <x:v>Anniversaire</x:v>
      </x:c>
      <x:c r="G185" s="53" t="str">
        <x:v>Axe présence quotidienne — inventaire complet; Catalogue §6-C</x:v>
      </x:c>
      <x:c r="H185" s="53" t="str">
        <x:v>explicitement listée</x:v>
      </x:c>
      <x:c r="I185" s="53" t="str"/>
    </x:row>
    <x:row r="186">
      <x:c r="A186" s="55" t="str">
        <x:v>182</x:v>
      </x:c>
      <x:c r="B186" s="53" t="str">
        <x:v>Event id=259</x:v>
      </x:c>
      <x:c r="C186" s="53" t="str"/>
      <x:c r="D186" s="55" t="str">
        <x:v>2013-08-14</x:v>
      </x:c>
      <x:c r="E186" s="53" t="str">
        <x:v>Event / photographie horodatée</x:v>
      </x:c>
      <x:c r="F186" s="53" t="str">
        <x:v>Voyage à Cape Cod avec Nicolas</x:v>
      </x:c>
      <x:c r="G186" s="53" t="str">
        <x:v>Axe présence quotidienne — inventaire complet; Catalogue §6-C</x:v>
      </x:c>
      <x:c r="H186" s="53" t="str">
        <x:v>explicitement listée</x:v>
      </x:c>
      <x:c r="I186" s="53" t="str"/>
    </x:row>
    <x:row r="187">
      <x:c r="A187" s="55" t="str">
        <x:v>183</x:v>
      </x:c>
      <x:c r="B187" s="53" t="str">
        <x:v>Event id=261</x:v>
      </x:c>
      <x:c r="C187" s="53" t="str"/>
      <x:c r="D187" s="55" t="str">
        <x:v>2013-08-21</x:v>
      </x:c>
      <x:c r="E187" s="53" t="str">
        <x:v>Event / photographie horodatée</x:v>
      </x:c>
      <x:c r="F187" s="53" t="str">
        <x:v>Village du Père Noël</x:v>
      </x:c>
      <x:c r="G187" s="53" t="str">
        <x:v>Axe présence quotidienne — inventaire complet; Catalogue §6-C</x:v>
      </x:c>
      <x:c r="H187" s="53" t="str">
        <x:v>explicitement listée</x:v>
      </x:c>
      <x:c r="I187" s="53" t="str"/>
    </x:row>
    <x:row r="188">
      <x:c r="A188" s="55" t="str">
        <x:v>184</x:v>
      </x:c>
      <x:c r="B188" s="53" t="str">
        <x:v>Event id=266</x:v>
      </x:c>
      <x:c r="C188" s="53" t="str"/>
      <x:c r="D188" s="55" t="str">
        <x:v>2013-09-28</x:v>
      </x:c>
      <x:c r="E188" s="53" t="str">
        <x:v>Event / photographie horodatée</x:v>
      </x:c>
      <x:c r="F188" s="53" t="str">
        <x:v>Course avec Nicolas à l’Île Notre-Dame</x:v>
      </x:c>
      <x:c r="G188" s="53" t="str">
        <x:v>Axe présence quotidienne — inventaire complet; Catalogue §6-C</x:v>
      </x:c>
      <x:c r="H188" s="53" t="str">
        <x:v>explicitement listée</x:v>
      </x:c>
      <x:c r="I188" s="53" t="str"/>
    </x:row>
    <x:row r="189">
      <x:c r="A189" s="55" t="str">
        <x:v>185</x:v>
      </x:c>
      <x:c r="B189" s="53" t="str">
        <x:v>Event id=268</x:v>
      </x:c>
      <x:c r="C189" s="53" t="str"/>
      <x:c r="D189" s="55" t="str">
        <x:v>non précisé dans les fichiers examinés</x:v>
      </x:c>
      <x:c r="E189" s="53" t="str">
        <x:v>Event / photographie horodatée</x:v>
      </x:c>
      <x:c r="F189" s="53" t="str">
        <x:v>Présence quotidienne, sortie, activité ou milieu familial paternel; détail non précisé dans les extraits examinés</x:v>
      </x:c>
      <x:c r="G189" s="53" t="str">
        <x:v>Axe présence quotidienne — inventaire complet; Catalogue §6-C</x:v>
      </x:c>
      <x:c r="H189" s="53" t="str">
        <x:v>explicitement listée</x:v>
      </x:c>
      <x:c r="I189" s="53" t="str"/>
    </x:row>
    <x:row r="190">
      <x:c r="A190" s="55" t="str">
        <x:v>186</x:v>
      </x:c>
      <x:c r="B190" s="53" t="str">
        <x:v>Event id=284</x:v>
      </x:c>
      <x:c r="C190" s="53" t="str"/>
      <x:c r="D190" s="55" t="str">
        <x:v>non précisé dans les fichiers examinés</x:v>
      </x:c>
      <x:c r="E190" s="53" t="str">
        <x:v>Event / photographie horodatée</x:v>
      </x:c>
      <x:c r="F190" s="53" t="str">
        <x:v>Repas/fête dans la famille paternelle</x:v>
      </x:c>
      <x:c r="G190" s="53" t="str">
        <x:v>Axe présence quotidienne — inventaire complet; Catalogue §6-C</x:v>
      </x:c>
      <x:c r="H190" s="53" t="str">
        <x:v>explicitement listée</x:v>
      </x:c>
      <x:c r="I190" s="53" t="str"/>
    </x:row>
    <x:row r="191">
      <x:c r="A191" s="55" t="str">
        <x:v>187</x:v>
      </x:c>
      <x:c r="B191" s="53" t="str">
        <x:v>Event id=288</x:v>
      </x:c>
      <x:c r="C191" s="53" t="str"/>
      <x:c r="D191" s="55" t="str">
        <x:v>non précisé dans les fichiers examinés</x:v>
      </x:c>
      <x:c r="E191" s="53" t="str">
        <x:v>Event / photographie horodatée</x:v>
      </x:c>
      <x:c r="F191" s="53" t="str">
        <x:v>Présence quotidienne, sortie, activité ou milieu familial paternel; détail non précisé dans les extraits examinés</x:v>
      </x:c>
      <x:c r="G191" s="53" t="str">
        <x:v>Axe présence quotidienne — inventaire complet; Catalogue §6-C</x:v>
      </x:c>
      <x:c r="H191" s="53" t="str">
        <x:v>explicitement listée</x:v>
      </x:c>
      <x:c r="I191" s="53" t="str"/>
    </x:row>
    <x:row r="192">
      <x:c r="A192" s="55" t="str">
        <x:v>188</x:v>
      </x:c>
      <x:c r="B192" s="53" t="str">
        <x:v>Event id=291</x:v>
      </x:c>
      <x:c r="C192" s="53" t="str"/>
      <x:c r="D192" s="55" t="str">
        <x:v>non précisé dans les fichiers examinés</x:v>
      </x:c>
      <x:c r="E192" s="53" t="str">
        <x:v>Event / photographie horodatée</x:v>
      </x:c>
      <x:c r="F192" s="53" t="str">
        <x:v>Repas/fête dans la famille paternelle</x:v>
      </x:c>
      <x:c r="G192" s="53" t="str">
        <x:v>Axe présence quotidienne — inventaire complet; Catalogue §6-C</x:v>
      </x:c>
      <x:c r="H192" s="53" t="str">
        <x:v>explicitement listée</x:v>
      </x:c>
      <x:c r="I192" s="53" t="str"/>
    </x:row>
    <x:row r="193">
      <x:c r="A193" s="55" t="str">
        <x:v>189</x:v>
      </x:c>
      <x:c r="B193" s="53" t="str">
        <x:v>Event id=304</x:v>
      </x:c>
      <x:c r="C193" s="53" t="str"/>
      <x:c r="D193" s="55" t="str">
        <x:v>non précisé dans les fichiers examinés</x:v>
      </x:c>
      <x:c r="E193" s="53" t="str">
        <x:v>Event / photographie horodatée</x:v>
      </x:c>
      <x:c r="F193" s="53" t="str">
        <x:v>Présence quotidienne, sortie, activité ou milieu familial paternel; détail non précisé dans les extraits examinés</x:v>
      </x:c>
      <x:c r="G193" s="53" t="str">
        <x:v>Axe présence quotidienne — inventaire complet; Catalogue §6-C</x:v>
      </x:c>
      <x:c r="H193" s="53" t="str">
        <x:v>explicitement listée</x:v>
      </x:c>
      <x:c r="I193" s="53" t="str"/>
    </x:row>
    <x:row r="194">
      <x:c r="A194" s="55" t="str">
        <x:v>190</x:v>
      </x:c>
      <x:c r="B194" s="53" t="str">
        <x:v>Event id=305</x:v>
      </x:c>
      <x:c r="C194" s="53" t="str"/>
      <x:c r="D194" s="55" t="str">
        <x:v>2018-01-25</x:v>
      </x:c>
      <x:c r="E194" s="53" t="str">
        <x:v>Event / photographie horodatée</x:v>
      </x:c>
      <x:c r="F194" s="53" t="str">
        <x:v>Escalade avec Nicolas, occurrence tardive</x:v>
      </x:c>
      <x:c r="G194" s="53" t="str">
        <x:v>Axe présence quotidienne — inventaire complet; Catalogue §6-C</x:v>
      </x:c>
      <x:c r="H194" s="53" t="str">
        <x:v>explicitement listée</x:v>
      </x:c>
      <x:c r="I194" s="53" t="str">
        <x:v>Occurrence de 2018, hors période 2009-2015; contexte comparatif seulement.</x:v>
      </x:c>
    </x:row>
    <x:row r="195">
      <x:c r="A195" s="55" t="str">
        <x:v>191</x:v>
      </x:c>
      <x:c r="B195" s="53" t="str">
        <x:v>Event id=316</x:v>
      </x:c>
      <x:c r="C195" s="53" t="str"/>
      <x:c r="D195" s="55" t="str">
        <x:v>2013-06-27</x:v>
      </x:c>
      <x:c r="E195" s="53" t="str">
        <x:v>Event / photographie horodatée</x:v>
      </x:c>
      <x:c r="F195" s="53" t="str">
        <x:v>Escalade avec Alexia</x:v>
      </x:c>
      <x:c r="G195" s="53" t="str">
        <x:v>Axe présence quotidienne — inventaire complet; Catalogue §6-C</x:v>
      </x:c>
      <x:c r="H195" s="53" t="str">
        <x:v>explicitement listée</x:v>
      </x:c>
      <x:c r="I195" s="53" t="str"/>
    </x:row>
    <x:row r="196">
      <x:c r="A196" s="55" t="str">
        <x:v>192</x:v>
      </x:c>
      <x:c r="B196" s="53" t="str">
        <x:v>Event id=317</x:v>
      </x:c>
      <x:c r="C196" s="53" t="str"/>
      <x:c r="D196" s="55" t="str">
        <x:v>2013-07-07</x:v>
      </x:c>
      <x:c r="E196" s="53" t="str">
        <x:v>Event / photographie horodatée</x:v>
      </x:c>
      <x:c r="F196" s="53" t="str">
        <x:v>Escalade avec Alexia</x:v>
      </x:c>
      <x:c r="G196" s="53" t="str">
        <x:v>Axe présence quotidienne — inventaire complet; Catalogue §6-C</x:v>
      </x:c>
      <x:c r="H196" s="53" t="str">
        <x:v>explicitement listée</x:v>
      </x:c>
      <x:c r="I196" s="53" t="str"/>
    </x:row>
    <x:row r="197">
      <x:c r="A197" s="55" t="str">
        <x:v>193</x:v>
      </x:c>
      <x:c r="B197" s="53" t="str">
        <x:v>Event id=318</x:v>
      </x:c>
      <x:c r="C197" s="53" t="str"/>
      <x:c r="D197" s="55" t="str">
        <x:v>2013-08-18</x:v>
      </x:c>
      <x:c r="E197" s="53" t="str">
        <x:v>Event / photographie horodatée</x:v>
      </x:c>
      <x:c r="F197" s="53" t="str">
        <x:v>Escalade avec Alexia</x:v>
      </x:c>
      <x:c r="G197" s="53" t="str">
        <x:v>Axe présence quotidienne — inventaire complet; Catalogue §6-C</x:v>
      </x:c>
      <x:c r="H197" s="53" t="str">
        <x:v>explicitement listée</x:v>
      </x:c>
      <x:c r="I197" s="53" t="str"/>
    </x:row>
    <x:row r="198">
      <x:c r="A198" s="55" t="str">
        <x:v>194</x:v>
      </x:c>
      <x:c r="B198" s="53" t="str">
        <x:v>Event id=319</x:v>
      </x:c>
      <x:c r="C198" s="53" t="str"/>
      <x:c r="D198" s="55" t="str">
        <x:v>2013-08-26</x:v>
      </x:c>
      <x:c r="E198" s="53" t="str">
        <x:v>Event / photographie horodatée</x:v>
      </x:c>
      <x:c r="F198" s="53" t="str">
        <x:v>Escalade avec Alexia</x:v>
      </x:c>
      <x:c r="G198" s="53" t="str">
        <x:v>Axe présence quotidienne — inventaire complet; Catalogue §6-C</x:v>
      </x:c>
      <x:c r="H198" s="53" t="str">
        <x:v>explicitement listée</x:v>
      </x:c>
      <x:c r="I198" s="53" t="str"/>
    </x:row>
    <x:row r="199">
      <x:c r="A199" s="55" t="str">
        <x:v>195</x:v>
      </x:c>
      <x:c r="B199" s="53" t="str">
        <x:v>Event id=320</x:v>
      </x:c>
      <x:c r="C199" s="53" t="str"/>
      <x:c r="D199" s="55" t="str">
        <x:v>2013-08-31</x:v>
      </x:c>
      <x:c r="E199" s="53" t="str">
        <x:v>Event / photographie horodatée</x:v>
      </x:c>
      <x:c r="F199" s="53" t="str">
        <x:v>Escalade avec Alexia</x:v>
      </x:c>
      <x:c r="G199" s="53" t="str">
        <x:v>Axe présence quotidienne — inventaire complet; Catalogue §6-C</x:v>
      </x:c>
      <x:c r="H199" s="53" t="str">
        <x:v>explicitement listée</x:v>
      </x:c>
      <x:c r="I199" s="53" t="str"/>
    </x:row>
    <x:row r="200">
      <x:c r="A200" s="55" t="str">
        <x:v>196</x:v>
      </x:c>
      <x:c r="B200" s="53" t="str">
        <x:v>Event id=321</x:v>
      </x:c>
      <x:c r="C200" s="53" t="str"/>
      <x:c r="D200" s="55" t="str">
        <x:v>2013-10-19</x:v>
      </x:c>
      <x:c r="E200" s="53" t="str">
        <x:v>Event / photographie horodatée</x:v>
      </x:c>
      <x:c r="F200" s="53" t="str">
        <x:v>Escalade avec Alexia</x:v>
      </x:c>
      <x:c r="G200" s="53" t="str">
        <x:v>Axe présence quotidienne — inventaire complet; Catalogue §6-C</x:v>
      </x:c>
      <x:c r="H200" s="53" t="str">
        <x:v>explicitement listée</x:v>
      </x:c>
      <x:c r="I200" s="53" t="str"/>
    </x:row>
    <x:row r="201">
      <x:c r="A201" s="55" t="str">
        <x:v>197</x:v>
      </x:c>
      <x:c r="B201" s="53" t="str">
        <x:v>Event id=322</x:v>
      </x:c>
      <x:c r="C201" s="53" t="str"/>
      <x:c r="D201" s="55" t="str">
        <x:v>2013-12-07</x:v>
      </x:c>
      <x:c r="E201" s="53" t="str">
        <x:v>Event / photographie horodatée</x:v>
      </x:c>
      <x:c r="F201" s="53" t="str">
        <x:v>Escalade avec Alexia</x:v>
      </x:c>
      <x:c r="G201" s="53" t="str">
        <x:v>Axe présence quotidienne — inventaire complet; Catalogue §6-C</x:v>
      </x:c>
      <x:c r="H201" s="53" t="str">
        <x:v>explicitement listée</x:v>
      </x:c>
      <x:c r="I201" s="53" t="str"/>
    </x:row>
    <x:row r="202">
      <x:c r="A202" s="55" t="str">
        <x:v>198</x:v>
      </x:c>
      <x:c r="B202" s="53" t="str">
        <x:v>Event id=323</x:v>
      </x:c>
      <x:c r="C202" s="53" t="str"/>
      <x:c r="D202" s="55" t="str">
        <x:v>2014-02-02</x:v>
      </x:c>
      <x:c r="E202" s="53" t="str">
        <x:v>Event / photographie horodatée</x:v>
      </x:c>
      <x:c r="F202" s="53" t="str">
        <x:v>Escalade avec Alexia</x:v>
      </x:c>
      <x:c r="G202" s="53" t="str">
        <x:v>Axe présence quotidienne — inventaire complet; Catalogue §6-C</x:v>
      </x:c>
      <x:c r="H202" s="53" t="str">
        <x:v>explicitement listée</x:v>
      </x:c>
      <x:c r="I202" s="53" t="str"/>
    </x:row>
    <x:row r="203">
      <x:c r="A203" s="55" t="str">
        <x:v>199</x:v>
      </x:c>
      <x:c r="B203" s="53" t="str">
        <x:v>Event id=324</x:v>
      </x:c>
      <x:c r="C203" s="53" t="str"/>
      <x:c r="D203" s="55" t="str">
        <x:v>2014-02-16</x:v>
      </x:c>
      <x:c r="E203" s="53" t="str">
        <x:v>Event / photographie horodatée</x:v>
      </x:c>
      <x:c r="F203" s="53" t="str">
        <x:v>Escalade avec Alexia</x:v>
      </x:c>
      <x:c r="G203" s="53" t="str">
        <x:v>Axe présence quotidienne — inventaire complet; Catalogue §6-C</x:v>
      </x:c>
      <x:c r="H203" s="53" t="str">
        <x:v>explicitement listée</x:v>
      </x:c>
      <x:c r="I203" s="53" t="str"/>
    </x:row>
    <x:row r="204">
      <x:c r="A204" s="55" t="str">
        <x:v>200</x:v>
      </x:c>
      <x:c r="B204" s="53" t="str">
        <x:v>Event id=325</x:v>
      </x:c>
      <x:c r="C204" s="53" t="str"/>
      <x:c r="D204" s="55" t="str">
        <x:v>2014-03-16</x:v>
      </x:c>
      <x:c r="E204" s="53" t="str">
        <x:v>Event / photographie horodatée</x:v>
      </x:c>
      <x:c r="F204" s="53" t="str">
        <x:v>Escalade avec Alexia</x:v>
      </x:c>
      <x:c r="G204" s="53" t="str">
        <x:v>Axe présence quotidienne — inventaire complet; Catalogue §6-C</x:v>
      </x:c>
      <x:c r="H204" s="53" t="str">
        <x:v>explicitement listée</x:v>
      </x:c>
      <x:c r="I204" s="53" t="str"/>
    </x:row>
    <x:row r="205">
      <x:c r="A205" s="55" t="str">
        <x:v>201</x:v>
      </x:c>
      <x:c r="B205" s="53" t="str">
        <x:v>Event id=326</x:v>
      </x:c>
      <x:c r="C205" s="53" t="str"/>
      <x:c r="D205" s="55" t="str">
        <x:v>2014-03-06</x:v>
      </x:c>
      <x:c r="E205" s="53" t="str">
        <x:v>Event / photographie horodatée</x:v>
      </x:c>
      <x:c r="F205" s="53" t="str">
        <x:v>Escalade avec Alexia</x:v>
      </x:c>
      <x:c r="G205" s="53" t="str">
        <x:v>Axe présence quotidienne — inventaire complet; Catalogue §6-C</x:v>
      </x:c>
      <x:c r="H205" s="53" t="str">
        <x:v>explicitement listée</x:v>
      </x:c>
      <x:c r="I205" s="53" t="str"/>
    </x:row>
    <x:row r="206">
      <x:c r="A206" s="55" t="str">
        <x:v>202</x:v>
      </x:c>
      <x:c r="B206" s="53" t="str">
        <x:v>Event id=327</x:v>
      </x:c>
      <x:c r="C206" s="53" t="str"/>
      <x:c r="D206" s="55" t="str">
        <x:v>2015-02-07</x:v>
      </x:c>
      <x:c r="E206" s="53" t="str">
        <x:v>Event / photographie horodatée</x:v>
      </x:c>
      <x:c r="F206" s="53" t="str">
        <x:v>Escalade avec Nicolas</x:v>
      </x:c>
      <x:c r="G206" s="53" t="str">
        <x:v>Axe présence quotidienne — inventaire complet; Catalogue §6-C</x:v>
      </x:c>
      <x:c r="H206" s="53" t="str">
        <x:v>explicitement listée</x:v>
      </x:c>
      <x:c r="I206" s="53" t="str">
        <x:v>Occurrence de février 2015, signalée comme hors période du titre de l’axe 2010-2014.</x:v>
      </x:c>
    </x:row>
    <x:row r="207">
      <x:c r="A207" s="55" t="str">
        <x:v>203</x:v>
      </x:c>
      <x:c r="B207" s="53" t="str">
        <x:v>Email id=590</x:v>
      </x:c>
      <x:c r="C207" s="53" t="str"/>
      <x:c r="D207" s="55" t="str">
        <x:v>2010-01-26</x:v>
      </x:c>
      <x:c r="E207" s="53" t="str">
        <x:v>Courriel familial</x:v>
      </x:c>
      <x:c r="F207" s="53" t="str">
        <x:v>Soins à Alexia malade en bas âge</x:v>
      </x:c>
      <x:c r="G207" s="53" t="str">
        <x:v>Catalogue §6 — petite enfance; Pont par4-5-6 cité par les faits 14-17</x:v>
      </x:c>
      <x:c r="H207" s="53" t="str">
        <x:v>pièce complémentaire</x:v>
      </x:c>
      <x:c r="I207" s="53" t="str"/>
    </x:row>
    <x:row r="208">
      <x:c r="A208" s="55" t="str">
        <x:v>204</x:v>
      </x:c>
      <x:c r="B208" s="53" t="str">
        <x:v>Email id=603</x:v>
      </x:c>
      <x:c r="C208" s="53" t="str"/>
      <x:c r="D208" s="55" t="str">
        <x:v>2010-11-08</x:v>
      </x:c>
      <x:c r="E208" s="53" t="str">
        <x:v>Courriel familial</x:v>
      </x:c>
      <x:c r="F208" s="53" t="str">
        <x:v>Répartition d’une journée de garde</x:v>
      </x:c>
      <x:c r="G208" s="53" t="str">
        <x:v>Catalogue §6 — petite enfance; Pont par4-5-6 cité par les faits 14-17</x:v>
      </x:c>
      <x:c r="H208" s="53" t="str">
        <x:v>pièce complémentaire</x:v>
      </x:c>
      <x:c r="I208" s="53" t="str"/>
    </x:row>
    <x:row r="209">
      <x:c r="A209" s="55" t="str">
        <x:v>205</x:v>
      </x:c>
      <x:c r="B209" s="53" t="str">
        <x:v>Email id=91</x:v>
      </x:c>
      <x:c r="C209" s="53" t="str"/>
      <x:c r="D209" s="55" t="str">
        <x:v>non précisé dans les fichiers examinés</x:v>
      </x:c>
      <x:c r="E209" s="53" t="str">
        <x:v>Courriel familial</x:v>
      </x:c>
      <x:c r="F209" s="53" t="str">
        <x:v>Communication d’horaire ou d’activité à la famille</x:v>
      </x:c>
      <x:c r="G209" s="53" t="str">
        <x:v>Catalogue §6 — petite enfance; Pont par4-5-6 cité par les faits 14-17</x:v>
      </x:c>
      <x:c r="H209" s="53" t="str">
        <x:v>pièce complémentaire</x:v>
      </x:c>
      <x:c r="I209" s="53" t="str"/>
    </x:row>
    <x:row r="210">
      <x:c r="A210" s="55" t="str">
        <x:v>206</x:v>
      </x:c>
      <x:c r="B210" s="53" t="str">
        <x:v>piece_tableau_recap_evenements.md</x:v>
      </x:c>
      <x:c r="C210" s="53" t="str">
        <x:v>tableau récapitulatif; liasse de photographies</x:v>
      </x:c>
      <x:c r="D210" s="55" t="str">
        <x:v>période 2009-2015</x:v>
      </x:c>
      <x:c r="E210" s="53" t="str">
        <x:v>Tableau de synthèse/démonstratif</x:v>
      </x:c>
      <x:c r="F210" s="53" t="str">
        <x:v>Recensement d’occasions documentées par photographies horodatées</x:v>
      </x:c>
      <x:c r="G210" s="53" t="str">
        <x:v>Catalogue §6-C; axes présence et fichiers de faits connexes</x:v>
      </x:c>
      <x:c r="H210" s="53" t="str">
        <x:v>pièce complémentaire</x:v>
      </x:c>
      <x:c r="I210" s="53" t="str">
        <x:v>Document de synthèse qui ne remplace pas les photographies et événements sous-jacents; authenticité et méthode de compilation à établir.</x:v>
      </x:c>
    </x:row>
  </x:sheetData>
  <x:mergeCells>
    <x:mergeCell ref="A1:I1"/>
    <x:mergeCell ref="A2:I2"/>
  </x:mergeCells>
  <x:conditionalFormatting sqref="H5:H210">
    <x:cfRule type="expression" dxfId="0" priority="1">
      <x:formula>H5="explicitement listée"</x:formula>
    </x:cfRule>
    <x:cfRule type="expression" dxfId="1" priority="2">
      <x:formula>H5="pièce complémentaire"</x:formula>
    </x:cfRule>
    <x:cfRule type="expression" dxfId="2" priority="3">
      <x:formula>H5="mentionnée dans le récit"</x:formula>
    </x:cfRule>
  </x:conditionalFormatting>
  <x:pageMargins left="0.7" right="0.7" top="0.75" bottom="0.75" header="0.3" footer="0.3"/>
  <x:tableParts count="1">
    <x:tablePart xmlns:r="http://schemas.openxmlformats.org/officeDocument/2006/relationships" r:id="R9d226505d50b41e9"/>
  </x:tableParts>
</x:worksheet>
</file>

<file path=xl/worksheets/sheet3.xml><?xml version="1.0" encoding="utf-8"?>
<x:worksheet xmlns:x="http://schemas.openxmlformats.org/spreadsheetml/2006/main">
  <x:sheetFormatPr defaultRowHeight="15"/>
  <x:cols>
    <x:col min="1" max="1" width="34" hidden="0" customWidth="1"/>
    <x:col min="2" max="2" width="14" hidden="0" customWidth="1"/>
    <x:col min="3" max="3" width="16" hidden="0" customWidth="1"/>
    <x:col min="4" max="4" width="20" hidden="0" customWidth="1"/>
    <x:col min="5" max="5" width="17" hidden="0" customWidth="1"/>
    <x:col min="6" max="6" width="20" hidden="0" customWidth="1"/>
    <x:col min="7" max="7" width="14" hidden="0" customWidth="1"/>
  </x:cols>
  <x:sheetData>
    <x:row r="1" ht="28" customHeight="1">
      <x:c r="A1" s="5" t="str">
        <x:v>Matrice de présence</x:v>
      </x:c>
      <x:c r="B1" s="5"/>
      <x:c r="C1" s="5"/>
      <x:c r="D1" s="5"/>
      <x:c r="E1" s="5"/>
      <x:c r="F1" s="5"/>
      <x:c r="G1" s="5"/>
    </x:row>
    <x:row r="2" ht="34" customHeight="1">
      <x:c r="A2" s="13" t="str">
        <x:v>✓ = identifiant exact; — = absent; Implicite = contenu repris sans identifiant singulier; Omis = utilisé mais absent de la liste finale.</x:v>
      </x:c>
      <x:c r="B2" s="13"/>
      <x:c r="C2" s="13"/>
      <x:c r="D2" s="13"/>
      <x:c r="E2" s="13"/>
      <x:c r="F2" s="13"/>
      <x:c r="G2" s="13"/>
    </x:row>
    <x:row r="4" ht="34" customHeight="1">
      <x:c r="A4" s="48" t="str">
        <x:v>Référence interne</x:v>
      </x:c>
      <x:c r="B4" s="48" t="str">
        <x:v>Faits</x:v>
      </x:c>
      <x:c r="C4" s="48" t="str">
        <x:v>Pont — récit</x:v>
      </x:c>
      <x:c r="D4" s="48" t="str">
        <x:v>Pont — tableau final</x:v>
      </x:c>
      <x:c r="E4" s="48" t="str">
        <x:v>Axe/Argument</x:v>
      </x:c>
      <x:c r="F4" s="48" t="str">
        <x:v>Relation/Synthèse</x:v>
      </x:c>
      <x:c r="G4" s="48" t="str">
        <x:v>Autre</x:v>
      </x:c>
    </x:row>
    <x:row r="5">
      <x:c r="A5" s="53" t="str">
        <x:v>piece_document-1.md</x:v>
      </x:c>
      <x:c r="B5" s="55" t="str">
        <x:v>✓</x:v>
      </x:c>
      <x:c r="C5" s="55" t="str">
        <x:v>✓</x:v>
      </x:c>
      <x:c r="D5" s="55" t="str">
        <x:v>✓</x:v>
      </x:c>
      <x:c r="E5" s="55" t="str">
        <x:v>✓</x:v>
      </x:c>
      <x:c r="F5" s="55" t="str">
        <x:v>✓</x:v>
      </x:c>
      <x:c r="G5" s="55" t="str">
        <x:v>—</x:v>
      </x:c>
    </x:row>
    <x:row r="6">
      <x:c r="A6" s="53" t="str">
        <x:v>piece_pdf-2.md</x:v>
      </x:c>
      <x:c r="B6" s="55" t="str">
        <x:v>✓</x:v>
      </x:c>
      <x:c r="C6" s="55" t="str">
        <x:v>✓</x:v>
      </x:c>
      <x:c r="D6" s="55" t="str">
        <x:v>✓</x:v>
      </x:c>
      <x:c r="E6" s="55" t="str">
        <x:v>✓</x:v>
      </x:c>
      <x:c r="F6" s="55" t="str">
        <x:v>✓</x:v>
      </x:c>
      <x:c r="G6" s="55" t="str">
        <x:v>—</x:v>
      </x:c>
    </x:row>
    <x:row r="7">
      <x:c r="A7" s="53" t="str">
        <x:v>piece_pdf-3.md</x:v>
      </x:c>
      <x:c r="B7" s="55" t="str">
        <x:v>✓</x:v>
      </x:c>
      <x:c r="C7" s="55" t="str">
        <x:v>✓</x:v>
      </x:c>
      <x:c r="D7" s="55" t="str">
        <x:v>✓</x:v>
      </x:c>
      <x:c r="E7" s="55" t="str">
        <x:v>✓</x:v>
      </x:c>
      <x:c r="F7" s="55" t="str">
        <x:v>✓</x:v>
      </x:c>
      <x:c r="G7" s="55" t="str">
        <x:v>—</x:v>
      </x:c>
    </x:row>
    <x:row r="8">
      <x:c r="A8" s="53" t="str">
        <x:v>piece_pdf-5.md</x:v>
      </x:c>
      <x:c r="B8" s="55" t="str">
        <x:v>✓</x:v>
      </x:c>
      <x:c r="C8" s="55" t="str">
        <x:v>✓</x:v>
      </x:c>
      <x:c r="D8" s="55" t="str">
        <x:v>✓</x:v>
      </x:c>
      <x:c r="E8" s="55" t="str">
        <x:v>✓</x:v>
      </x:c>
      <x:c r="F8" s="55" t="str">
        <x:v>✓</x:v>
      </x:c>
      <x:c r="G8" s="55" t="str">
        <x:v>—</x:v>
      </x:c>
    </x:row>
    <x:row r="9">
      <x:c r="A9" s="53" t="str">
        <x:v>piece_pdf-6.md</x:v>
      </x:c>
      <x:c r="B9" s="55" t="str">
        <x:v>✓</x:v>
      </x:c>
      <x:c r="C9" s="55" t="str">
        <x:v>✓</x:v>
      </x:c>
      <x:c r="D9" s="55" t="str">
        <x:v>✓</x:v>
      </x:c>
      <x:c r="E9" s="55" t="str">
        <x:v>✓</x:v>
      </x:c>
      <x:c r="F9" s="55" t="str">
        <x:v>✓</x:v>
      </x:c>
      <x:c r="G9" s="55" t="str">
        <x:v>—</x:v>
      </x:c>
    </x:row>
    <x:row r="10">
      <x:c r="A10" s="53" t="str">
        <x:v>P-355</x:v>
      </x:c>
      <x:c r="B10" s="55" t="str">
        <x:v>—</x:v>
      </x:c>
      <x:c r="C10" s="55" t="str">
        <x:v>Implicite</x:v>
      </x:c>
      <x:c r="D10" s="55" t="str">
        <x:v>Omis</x:v>
      </x:c>
      <x:c r="E10" s="55" t="str">
        <x:v>✓</x:v>
      </x:c>
      <x:c r="F10" s="55" t="str">
        <x:v>✓</x:v>
      </x:c>
      <x:c r="G10" s="55" t="str">
        <x:v>—</x:v>
      </x:c>
    </x:row>
    <x:row r="11">
      <x:c r="A11" s="53" t="str">
        <x:v>P-356</x:v>
      </x:c>
      <x:c r="B11" s="55" t="str">
        <x:v>—</x:v>
      </x:c>
      <x:c r="C11" s="55" t="str">
        <x:v>Implicite</x:v>
      </x:c>
      <x:c r="D11" s="55" t="str">
        <x:v>Omis</x:v>
      </x:c>
      <x:c r="E11" s="55" t="str">
        <x:v>✓</x:v>
      </x:c>
      <x:c r="F11" s="55" t="str">
        <x:v>✓</x:v>
      </x:c>
      <x:c r="G11" s="55" t="str">
        <x:v>—</x:v>
      </x:c>
    </x:row>
    <x:row r="12">
      <x:c r="A12" s="53" t="str">
        <x:v>piece_photo-4558.md</x:v>
      </x:c>
      <x:c r="B12" s="55" t="str">
        <x:v>✓</x:v>
      </x:c>
      <x:c r="C12" s="55" t="str">
        <x:v>✓</x:v>
      </x:c>
      <x:c r="D12" s="55" t="str">
        <x:v>✓</x:v>
      </x:c>
      <x:c r="E12" s="55" t="str">
        <x:v>✓</x:v>
      </x:c>
      <x:c r="F12" s="55" t="str">
        <x:v>✓</x:v>
      </x:c>
      <x:c r="G12" s="55" t="str">
        <x:v>—</x:v>
      </x:c>
    </x:row>
    <x:row r="13">
      <x:c r="A13" s="53" t="str">
        <x:v>piece_thread-12_email-16.md</x:v>
      </x:c>
      <x:c r="B13" s="55" t="str">
        <x:v>✓</x:v>
      </x:c>
      <x:c r="C13" s="55" t="str">
        <x:v>✓</x:v>
      </x:c>
      <x:c r="D13" s="55" t="str">
        <x:v>✓</x:v>
      </x:c>
      <x:c r="E13" s="55" t="str">
        <x:v>✓</x:v>
      </x:c>
      <x:c r="F13" s="55" t="str">
        <x:v>✓</x:v>
      </x:c>
      <x:c r="G13" s="55" t="str">
        <x:v>—</x:v>
      </x:c>
    </x:row>
    <x:row r="14">
      <x:c r="A14" s="53" t="str">
        <x:v>piece_pdf-1.md</x:v>
      </x:c>
      <x:c r="B14" s="55" t="str">
        <x:v>✓</x:v>
      </x:c>
      <x:c r="C14" s="55" t="str">
        <x:v>✓</x:v>
      </x:c>
      <x:c r="D14" s="55" t="str">
        <x:v>✓</x:v>
      </x:c>
      <x:c r="E14" s="55" t="str">
        <x:v>✓</x:v>
      </x:c>
      <x:c r="F14" s="55" t="str">
        <x:v>✓</x:v>
      </x:c>
      <x:c r="G14" s="55" t="str">
        <x:v>—</x:v>
      </x:c>
    </x:row>
    <x:row r="15">
      <x:c r="A15" s="53" t="str">
        <x:v>PDFDocument id=59</x:v>
      </x:c>
      <x:c r="B15" s="55" t="str">
        <x:v>—</x:v>
      </x:c>
      <x:c r="C15" s="55" t="str">
        <x:v>✓</x:v>
      </x:c>
      <x:c r="D15" s="55" t="str">
        <x:v>✓</x:v>
      </x:c>
      <x:c r="E15" s="55" t="str">
        <x:v>✓</x:v>
      </x:c>
      <x:c r="F15" s="55" t="str">
        <x:v>✓</x:v>
      </x:c>
      <x:c r="G15" s="55" t="str">
        <x:v>✓</x:v>
      </x:c>
    </x:row>
    <x:row r="16">
      <x:c r="A16" s="53" t="str">
        <x:v>piece_thread-6_email-295.md</x:v>
      </x:c>
      <x:c r="B16" s="55" t="str">
        <x:v>✓</x:v>
      </x:c>
      <x:c r="C16" s="55" t="str">
        <x:v>Implicite</x:v>
      </x:c>
      <x:c r="D16" s="55" t="str">
        <x:v>Omis</x:v>
      </x:c>
      <x:c r="E16" s="55" t="str">
        <x:v>✓</x:v>
      </x:c>
      <x:c r="F16" s="55" t="str">
        <x:v>✓</x:v>
      </x:c>
      <x:c r="G16" s="55" t="str">
        <x:v>—</x:v>
      </x:c>
    </x:row>
    <x:row r="17">
      <x:c r="A17" s="53" t="str">
        <x:v>piece_thread-6_email-8.md</x:v>
      </x:c>
      <x:c r="B17" s="55" t="str">
        <x:v>✓</x:v>
      </x:c>
      <x:c r="C17" s="55" t="str">
        <x:v>Implicite</x:v>
      </x:c>
      <x:c r="D17" s="55" t="str">
        <x:v>Omis</x:v>
      </x:c>
      <x:c r="E17" s="55" t="str">
        <x:v>✓</x:v>
      </x:c>
      <x:c r="F17" s="55" t="str">
        <x:v>✓</x:v>
      </x:c>
      <x:c r="G17" s="55" t="str">
        <x:v>—</x:v>
      </x:c>
    </x:row>
    <x:row r="18">
      <x:c r="A18" s="53" t="str">
        <x:v>piece_thread-6_email-306.md</x:v>
      </x:c>
      <x:c r="B18" s="55" t="str">
        <x:v>✓</x:v>
      </x:c>
      <x:c r="C18" s="55" t="str">
        <x:v>Implicite</x:v>
      </x:c>
      <x:c r="D18" s="55" t="str">
        <x:v>Omis</x:v>
      </x:c>
      <x:c r="E18" s="55" t="str">
        <x:v>✓</x:v>
      </x:c>
      <x:c r="F18" s="55" t="str">
        <x:v>✓</x:v>
      </x:c>
      <x:c r="G18" s="55" t="str">
        <x:v>—</x:v>
      </x:c>
    </x:row>
    <x:row r="19">
      <x:c r="A19" s="53" t="str">
        <x:v>piece_thread-6_email-6.md</x:v>
      </x:c>
      <x:c r="B19" s="55" t="str">
        <x:v>✓</x:v>
      </x:c>
      <x:c r="C19" s="55" t="str">
        <x:v>✓</x:v>
      </x:c>
      <x:c r="D19" s="55" t="str">
        <x:v>✓</x:v>
      </x:c>
      <x:c r="E19" s="55" t="str">
        <x:v>✓</x:v>
      </x:c>
      <x:c r="F19" s="55" t="str">
        <x:v>✓</x:v>
      </x:c>
      <x:c r="G19" s="55" t="str">
        <x:v>—</x:v>
      </x:c>
    </x:row>
    <x:row r="20">
      <x:c r="A20" s="53" t="str">
        <x:v>Email id=275</x:v>
      </x:c>
      <x:c r="B20" s="55" t="str">
        <x:v>✓</x:v>
      </x:c>
      <x:c r="C20" s="55" t="str">
        <x:v>Implicite</x:v>
      </x:c>
      <x:c r="D20" s="55" t="str">
        <x:v>Omis</x:v>
      </x:c>
      <x:c r="E20" s="55" t="str">
        <x:v>✓</x:v>
      </x:c>
      <x:c r="F20" s="55" t="str">
        <x:v>✓</x:v>
      </x:c>
      <x:c r="G20" s="55" t="str">
        <x:v>—</x:v>
      </x:c>
    </x:row>
    <x:row r="21">
      <x:c r="A21" s="53" t="str">
        <x:v>Email id=69</x:v>
      </x:c>
      <x:c r="B21" s="55" t="str">
        <x:v>—</x:v>
      </x:c>
      <x:c r="C21" s="55" t="str">
        <x:v>Implicite</x:v>
      </x:c>
      <x:c r="D21" s="55" t="str">
        <x:v>Omis</x:v>
      </x:c>
      <x:c r="E21" s="55" t="str">
        <x:v>✓</x:v>
      </x:c>
      <x:c r="F21" s="55" t="str">
        <x:v>—</x:v>
      </x:c>
      <x:c r="G21" s="55" t="str">
        <x:v>✓</x:v>
      </x:c>
    </x:row>
    <x:row r="22">
      <x:c r="A22" s="53" t="str">
        <x:v>Email id=68</x:v>
      </x:c>
      <x:c r="B22" s="55" t="str">
        <x:v>—</x:v>
      </x:c>
      <x:c r="C22" s="55" t="str">
        <x:v>Implicite</x:v>
      </x:c>
      <x:c r="D22" s="55" t="str">
        <x:v>Omis</x:v>
      </x:c>
      <x:c r="E22" s="55" t="str">
        <x:v>✓</x:v>
      </x:c>
      <x:c r="F22" s="55" t="str">
        <x:v>—</x:v>
      </x:c>
      <x:c r="G22" s="55" t="str">
        <x:v>✓</x:v>
      </x:c>
    </x:row>
    <x:row r="23">
      <x:c r="A23" s="53" t="str">
        <x:v>Email id=64</x:v>
      </x:c>
      <x:c r="B23" s="55" t="str">
        <x:v>—</x:v>
      </x:c>
      <x:c r="C23" s="55" t="str">
        <x:v>Implicite</x:v>
      </x:c>
      <x:c r="D23" s="55" t="str">
        <x:v>Omis</x:v>
      </x:c>
      <x:c r="E23" s="55" t="str">
        <x:v>✓</x:v>
      </x:c>
      <x:c r="F23" s="55" t="str">
        <x:v>—</x:v>
      </x:c>
      <x:c r="G23" s="55" t="str">
        <x:v>✓</x:v>
      </x:c>
    </x:row>
    <x:row r="24">
      <x:c r="A24" s="53" t="str">
        <x:v>Email id=118</x:v>
      </x:c>
      <x:c r="B24" s="55" t="str">
        <x:v>—</x:v>
      </x:c>
      <x:c r="C24" s="55" t="str">
        <x:v>Implicite</x:v>
      </x:c>
      <x:c r="D24" s="55" t="str">
        <x:v>Omis</x:v>
      </x:c>
      <x:c r="E24" s="55" t="str">
        <x:v>✓</x:v>
      </x:c>
      <x:c r="F24" s="55" t="str">
        <x:v>—</x:v>
      </x:c>
      <x:c r="G24" s="55" t="str">
        <x:v>✓</x:v>
      </x:c>
    </x:row>
    <x:row r="25">
      <x:c r="A25" s="53" t="str">
        <x:v>Email id=61</x:v>
      </x:c>
      <x:c r="B25" s="55" t="str">
        <x:v>—</x:v>
      </x:c>
      <x:c r="C25" s="55" t="str">
        <x:v>Implicite</x:v>
      </x:c>
      <x:c r="D25" s="55" t="str">
        <x:v>Omis</x:v>
      </x:c>
      <x:c r="E25" s="55" t="str">
        <x:v>✓</x:v>
      </x:c>
      <x:c r="F25" s="55" t="str">
        <x:v>—</x:v>
      </x:c>
      <x:c r="G25" s="55" t="str">
        <x:v>✓</x:v>
      </x:c>
    </x:row>
    <x:row r="26">
      <x:c r="A26" s="53" t="str">
        <x:v>Email id=59</x:v>
      </x:c>
      <x:c r="B26" s="55" t="str">
        <x:v>—</x:v>
      </x:c>
      <x:c r="C26" s="55" t="str">
        <x:v>Implicite</x:v>
      </x:c>
      <x:c r="D26" s="55" t="str">
        <x:v>Omis</x:v>
      </x:c>
      <x:c r="E26" s="55" t="str">
        <x:v>✓</x:v>
      </x:c>
      <x:c r="F26" s="55" t="str">
        <x:v>✓</x:v>
      </x:c>
      <x:c r="G26" s="55" t="str">
        <x:v>✓</x:v>
      </x:c>
    </x:row>
    <x:row r="27">
      <x:c r="A27" s="53" t="str">
        <x:v>Email id=58</x:v>
      </x:c>
      <x:c r="B27" s="55" t="str">
        <x:v>—</x:v>
      </x:c>
      <x:c r="C27" s="55" t="str">
        <x:v>Implicite</x:v>
      </x:c>
      <x:c r="D27" s="55" t="str">
        <x:v>Omis</x:v>
      </x:c>
      <x:c r="E27" s="55" t="str">
        <x:v>✓</x:v>
      </x:c>
      <x:c r="F27" s="55" t="str">
        <x:v>—</x:v>
      </x:c>
      <x:c r="G27" s="55" t="str">
        <x:v>✓</x:v>
      </x:c>
    </x:row>
    <x:row r="28">
      <x:c r="A28" s="53" t="str">
        <x:v>Email id=56</x:v>
      </x:c>
      <x:c r="B28" s="55" t="str">
        <x:v>—</x:v>
      </x:c>
      <x:c r="C28" s="55" t="str">
        <x:v>Implicite</x:v>
      </x:c>
      <x:c r="D28" s="55" t="str">
        <x:v>Omis</x:v>
      </x:c>
      <x:c r="E28" s="55" t="str">
        <x:v>✓</x:v>
      </x:c>
      <x:c r="F28" s="55" t="str">
        <x:v>—</x:v>
      </x:c>
      <x:c r="G28" s="55" t="str">
        <x:v>✓</x:v>
      </x:c>
    </x:row>
    <x:row r="29">
      <x:c r="A29" s="53" t="str">
        <x:v>Email id=55</x:v>
      </x:c>
      <x:c r="B29" s="55" t="str">
        <x:v>—</x:v>
      </x:c>
      <x:c r="C29" s="55" t="str">
        <x:v>Implicite</x:v>
      </x:c>
      <x:c r="D29" s="55" t="str">
        <x:v>Omis</x:v>
      </x:c>
      <x:c r="E29" s="55" t="str">
        <x:v>✓</x:v>
      </x:c>
      <x:c r="F29" s="55" t="str">
        <x:v>—</x:v>
      </x:c>
      <x:c r="G29" s="55" t="str">
        <x:v>✓</x:v>
      </x:c>
    </x:row>
    <x:row r="30">
      <x:c r="A30" s="53" t="str">
        <x:v>Email id=53/488</x:v>
      </x:c>
      <x:c r="B30" s="55" t="str">
        <x:v>—</x:v>
      </x:c>
      <x:c r="C30" s="55" t="str">
        <x:v>Implicite</x:v>
      </x:c>
      <x:c r="D30" s="55" t="str">
        <x:v>Omis</x:v>
      </x:c>
      <x:c r="E30" s="55" t="str">
        <x:v>✓</x:v>
      </x:c>
      <x:c r="F30" s="55" t="str">
        <x:v>—</x:v>
      </x:c>
      <x:c r="G30" s="55" t="str">
        <x:v>✓</x:v>
      </x:c>
    </x:row>
    <x:row r="31">
      <x:c r="A31" s="53" t="str">
        <x:v>Email id=51</x:v>
      </x:c>
      <x:c r="B31" s="55" t="str">
        <x:v>—</x:v>
      </x:c>
      <x:c r="C31" s="55" t="str">
        <x:v>Implicite</x:v>
      </x:c>
      <x:c r="D31" s="55" t="str">
        <x:v>Omis</x:v>
      </x:c>
      <x:c r="E31" s="55" t="str">
        <x:v>✓</x:v>
      </x:c>
      <x:c r="F31" s="55" t="str">
        <x:v>—</x:v>
      </x:c>
      <x:c r="G31" s="55" t="str">
        <x:v>✓</x:v>
      </x:c>
    </x:row>
    <x:row r="32">
      <x:c r="A32" s="53" t="str">
        <x:v>Email id=47</x:v>
      </x:c>
      <x:c r="B32" s="55" t="str">
        <x:v>—</x:v>
      </x:c>
      <x:c r="C32" s="55" t="str">
        <x:v>Implicite</x:v>
      </x:c>
      <x:c r="D32" s="55" t="str">
        <x:v>Omis</x:v>
      </x:c>
      <x:c r="E32" s="55" t="str">
        <x:v>✓</x:v>
      </x:c>
      <x:c r="F32" s="55" t="str">
        <x:v>—</x:v>
      </x:c>
      <x:c r="G32" s="55" t="str">
        <x:v>✓</x:v>
      </x:c>
    </x:row>
    <x:row r="33">
      <x:c r="A33" s="53" t="str">
        <x:v>Email id=45</x:v>
      </x:c>
      <x:c r="B33" s="55" t="str">
        <x:v>—</x:v>
      </x:c>
      <x:c r="C33" s="55" t="str">
        <x:v>Implicite</x:v>
      </x:c>
      <x:c r="D33" s="55" t="str">
        <x:v>Omis</x:v>
      </x:c>
      <x:c r="E33" s="55" t="str">
        <x:v>✓</x:v>
      </x:c>
      <x:c r="F33" s="55" t="str">
        <x:v>—</x:v>
      </x:c>
      <x:c r="G33" s="55" t="str">
        <x:v>✓</x:v>
      </x:c>
    </x:row>
    <x:row r="34">
      <x:c r="A34" s="53" t="str">
        <x:v>Email id=42</x:v>
      </x:c>
      <x:c r="B34" s="55" t="str">
        <x:v>—</x:v>
      </x:c>
      <x:c r="C34" s="55" t="str">
        <x:v>Implicite</x:v>
      </x:c>
      <x:c r="D34" s="55" t="str">
        <x:v>Omis</x:v>
      </x:c>
      <x:c r="E34" s="55" t="str">
        <x:v>✓</x:v>
      </x:c>
      <x:c r="F34" s="55" t="str">
        <x:v>—</x:v>
      </x:c>
      <x:c r="G34" s="55" t="str">
        <x:v>✓</x:v>
      </x:c>
    </x:row>
    <x:row r="35">
      <x:c r="A35" s="53" t="str">
        <x:v>Email id=41</x:v>
      </x:c>
      <x:c r="B35" s="55" t="str">
        <x:v>—</x:v>
      </x:c>
      <x:c r="C35" s="55" t="str">
        <x:v>Implicite</x:v>
      </x:c>
      <x:c r="D35" s="55" t="str">
        <x:v>Omis</x:v>
      </x:c>
      <x:c r="E35" s="55" t="str">
        <x:v>✓</x:v>
      </x:c>
      <x:c r="F35" s="55" t="str">
        <x:v>—</x:v>
      </x:c>
      <x:c r="G35" s="55" t="str">
        <x:v>✓</x:v>
      </x:c>
    </x:row>
    <x:row r="36">
      <x:c r="A36" s="53" t="str">
        <x:v>Email id=40</x:v>
      </x:c>
      <x:c r="B36" s="55" t="str">
        <x:v>—</x:v>
      </x:c>
      <x:c r="C36" s="55" t="str">
        <x:v>Implicite</x:v>
      </x:c>
      <x:c r="D36" s="55" t="str">
        <x:v>Omis</x:v>
      </x:c>
      <x:c r="E36" s="55" t="str">
        <x:v>✓</x:v>
      </x:c>
      <x:c r="F36" s="55" t="str">
        <x:v>—</x:v>
      </x:c>
      <x:c r="G36" s="55" t="str">
        <x:v>✓</x:v>
      </x:c>
    </x:row>
    <x:row r="37">
      <x:c r="A37" s="53" t="str">
        <x:v>Email id=30</x:v>
      </x:c>
      <x:c r="B37" s="55" t="str">
        <x:v>—</x:v>
      </x:c>
      <x:c r="C37" s="55" t="str">
        <x:v>Implicite</x:v>
      </x:c>
      <x:c r="D37" s="55" t="str">
        <x:v>Omis</x:v>
      </x:c>
      <x:c r="E37" s="55" t="str">
        <x:v>✓</x:v>
      </x:c>
      <x:c r="F37" s="55" t="str">
        <x:v>—</x:v>
      </x:c>
      <x:c r="G37" s="55" t="str">
        <x:v>✓</x:v>
      </x:c>
    </x:row>
    <x:row r="38">
      <x:c r="A38" s="53" t="str">
        <x:v>Email id=28</x:v>
      </x:c>
      <x:c r="B38" s="55" t="str">
        <x:v>—</x:v>
      </x:c>
      <x:c r="C38" s="55" t="str">
        <x:v>Implicite</x:v>
      </x:c>
      <x:c r="D38" s="55" t="str">
        <x:v>Omis</x:v>
      </x:c>
      <x:c r="E38" s="55" t="str">
        <x:v>✓</x:v>
      </x:c>
      <x:c r="F38" s="55" t="str">
        <x:v>—</x:v>
      </x:c>
      <x:c r="G38" s="55" t="str">
        <x:v>✓</x:v>
      </x:c>
    </x:row>
    <x:row r="39">
      <x:c r="A39" s="53" t="str">
        <x:v>Email id=27</x:v>
      </x:c>
      <x:c r="B39" s="55" t="str">
        <x:v>—</x:v>
      </x:c>
      <x:c r="C39" s="55" t="str">
        <x:v>Implicite</x:v>
      </x:c>
      <x:c r="D39" s="55" t="str">
        <x:v>Omis</x:v>
      </x:c>
      <x:c r="E39" s="55" t="str">
        <x:v>✓</x:v>
      </x:c>
      <x:c r="F39" s="55" t="str">
        <x:v>✓</x:v>
      </x:c>
      <x:c r="G39" s="55" t="str">
        <x:v>✓</x:v>
      </x:c>
    </x:row>
    <x:row r="40">
      <x:c r="A40" s="53" t="str">
        <x:v>Email id=21</x:v>
      </x:c>
      <x:c r="B40" s="55" t="str">
        <x:v>—</x:v>
      </x:c>
      <x:c r="C40" s="55" t="str">
        <x:v>Implicite</x:v>
      </x:c>
      <x:c r="D40" s="55" t="str">
        <x:v>Omis</x:v>
      </x:c>
      <x:c r="E40" s="55" t="str">
        <x:v>✓</x:v>
      </x:c>
      <x:c r="F40" s="55" t="str">
        <x:v>—</x:v>
      </x:c>
      <x:c r="G40" s="55" t="str">
        <x:v>✓</x:v>
      </x:c>
    </x:row>
    <x:row r="41">
      <x:c r="A41" s="53" t="str">
        <x:v>Email id=15</x:v>
      </x:c>
      <x:c r="B41" s="55" t="str">
        <x:v>—</x:v>
      </x:c>
      <x:c r="C41" s="55" t="str">
        <x:v>Implicite</x:v>
      </x:c>
      <x:c r="D41" s="55" t="str">
        <x:v>Omis</x:v>
      </x:c>
      <x:c r="E41" s="55" t="str">
        <x:v>✓</x:v>
      </x:c>
      <x:c r="F41" s="55" t="str">
        <x:v>—</x:v>
      </x:c>
      <x:c r="G41" s="55" t="str">
        <x:v>✓</x:v>
      </x:c>
    </x:row>
    <x:row r="42">
      <x:c r="A42" s="53" t="str">
        <x:v>P-64</x:v>
      </x:c>
      <x:c r="B42" s="55" t="str">
        <x:v>—</x:v>
      </x:c>
      <x:c r="C42" s="55" t="str">
        <x:v>Implicite</x:v>
      </x:c>
      <x:c r="D42" s="55" t="str">
        <x:v>Omis</x:v>
      </x:c>
      <x:c r="E42" s="55" t="str">
        <x:v>✓</x:v>
      </x:c>
      <x:c r="F42" s="55" t="str">
        <x:v>✓</x:v>
      </x:c>
      <x:c r="G42" s="55" t="str">
        <x:v>—</x:v>
      </x:c>
    </x:row>
    <x:row r="43">
      <x:c r="A43" s="53" t="str">
        <x:v>P-72</x:v>
      </x:c>
      <x:c r="B43" s="55" t="str">
        <x:v>—</x:v>
      </x:c>
      <x:c r="C43" s="55" t="str">
        <x:v>Implicite</x:v>
      </x:c>
      <x:c r="D43" s="55" t="str">
        <x:v>Omis</x:v>
      </x:c>
      <x:c r="E43" s="55" t="str">
        <x:v>✓</x:v>
      </x:c>
      <x:c r="F43" s="55" t="str">
        <x:v>✓</x:v>
      </x:c>
      <x:c r="G43" s="55" t="str">
        <x:v>—</x:v>
      </x:c>
    </x:row>
    <x:row r="44">
      <x:c r="A44" s="53" t="str">
        <x:v>P-117</x:v>
      </x:c>
      <x:c r="B44" s="55" t="str">
        <x:v>—</x:v>
      </x:c>
      <x:c r="C44" s="55" t="str">
        <x:v>Implicite</x:v>
      </x:c>
      <x:c r="D44" s="55" t="str">
        <x:v>Omis</x:v>
      </x:c>
      <x:c r="E44" s="55" t="str">
        <x:v>✓</x:v>
      </x:c>
      <x:c r="F44" s="55" t="str">
        <x:v>✓</x:v>
      </x:c>
      <x:c r="G44" s="55" t="str">
        <x:v>—</x:v>
      </x:c>
    </x:row>
    <x:row r="45">
      <x:c r="A45" s="53" t="str">
        <x:v>P-120</x:v>
      </x:c>
      <x:c r="B45" s="55" t="str">
        <x:v>—</x:v>
      </x:c>
      <x:c r="C45" s="55" t="str">
        <x:v>Implicite</x:v>
      </x:c>
      <x:c r="D45" s="55" t="str">
        <x:v>Omis</x:v>
      </x:c>
      <x:c r="E45" s="55" t="str">
        <x:v>✓</x:v>
      </x:c>
      <x:c r="F45" s="55" t="str">
        <x:v>✓</x:v>
      </x:c>
      <x:c r="G45" s="55" t="str">
        <x:v>—</x:v>
      </x:c>
    </x:row>
    <x:row r="46">
      <x:c r="A46" s="53" t="str">
        <x:v>P-156</x:v>
      </x:c>
      <x:c r="B46" s="55" t="str">
        <x:v>—</x:v>
      </x:c>
      <x:c r="C46" s="55" t="str">
        <x:v>Implicite</x:v>
      </x:c>
      <x:c r="D46" s="55" t="str">
        <x:v>Omis</x:v>
      </x:c>
      <x:c r="E46" s="55" t="str">
        <x:v>✓</x:v>
      </x:c>
      <x:c r="F46" s="55" t="str">
        <x:v>✓</x:v>
      </x:c>
      <x:c r="G46" s="55" t="str">
        <x:v>—</x:v>
      </x:c>
    </x:row>
    <x:row r="47">
      <x:c r="A47" s="53" t="str">
        <x:v>P-157</x:v>
      </x:c>
      <x:c r="B47" s="55" t="str">
        <x:v>—</x:v>
      </x:c>
      <x:c r="C47" s="55" t="str">
        <x:v>Implicite</x:v>
      </x:c>
      <x:c r="D47" s="55" t="str">
        <x:v>Omis</x:v>
      </x:c>
      <x:c r="E47" s="55" t="str">
        <x:v>✓</x:v>
      </x:c>
      <x:c r="F47" s="55" t="str">
        <x:v>✓</x:v>
      </x:c>
      <x:c r="G47" s="55" t="str">
        <x:v>—</x:v>
      </x:c>
    </x:row>
    <x:row r="48">
      <x:c r="A48" s="53" t="str">
        <x:v>P-204</x:v>
      </x:c>
      <x:c r="B48" s="55" t="str">
        <x:v>—</x:v>
      </x:c>
      <x:c r="C48" s="55" t="str">
        <x:v>Implicite</x:v>
      </x:c>
      <x:c r="D48" s="55" t="str">
        <x:v>Omis</x:v>
      </x:c>
      <x:c r="E48" s="55" t="str">
        <x:v>✓</x:v>
      </x:c>
      <x:c r="F48" s="55" t="str">
        <x:v>✓</x:v>
      </x:c>
      <x:c r="G48" s="55" t="str">
        <x:v>—</x:v>
      </x:c>
    </x:row>
    <x:row r="49">
      <x:c r="A49" s="53" t="str">
        <x:v>P-210</x:v>
      </x:c>
      <x:c r="B49" s="55" t="str">
        <x:v>—</x:v>
      </x:c>
      <x:c r="C49" s="55" t="str">
        <x:v>Implicite</x:v>
      </x:c>
      <x:c r="D49" s="55" t="str">
        <x:v>Omis</x:v>
      </x:c>
      <x:c r="E49" s="55" t="str">
        <x:v>✓</x:v>
      </x:c>
      <x:c r="F49" s="55" t="str">
        <x:v>✓</x:v>
      </x:c>
      <x:c r="G49" s="55" t="str">
        <x:v>—</x:v>
      </x:c>
    </x:row>
    <x:row r="50">
      <x:c r="A50" s="53" t="str">
        <x:v>P-215</x:v>
      </x:c>
      <x:c r="B50" s="55" t="str">
        <x:v>—</x:v>
      </x:c>
      <x:c r="C50" s="55" t="str">
        <x:v>Implicite</x:v>
      </x:c>
      <x:c r="D50" s="55" t="str">
        <x:v>Omis</x:v>
      </x:c>
      <x:c r="E50" s="55" t="str">
        <x:v>✓</x:v>
      </x:c>
      <x:c r="F50" s="55" t="str">
        <x:v>✓</x:v>
      </x:c>
      <x:c r="G50" s="55" t="str">
        <x:v>—</x:v>
      </x:c>
    </x:row>
    <x:row r="51">
      <x:c r="A51" s="53" t="str">
        <x:v>P-225</x:v>
      </x:c>
      <x:c r="B51" s="55" t="str">
        <x:v>—</x:v>
      </x:c>
      <x:c r="C51" s="55" t="str">
        <x:v>Implicite</x:v>
      </x:c>
      <x:c r="D51" s="55" t="str">
        <x:v>Omis</x:v>
      </x:c>
      <x:c r="E51" s="55" t="str">
        <x:v>✓</x:v>
      </x:c>
      <x:c r="F51" s="55" t="str">
        <x:v>✓</x:v>
      </x:c>
      <x:c r="G51" s="55" t="str">
        <x:v>—</x:v>
      </x:c>
    </x:row>
    <x:row r="52">
      <x:c r="A52" s="53" t="str">
        <x:v>P-240</x:v>
      </x:c>
      <x:c r="B52" s="55" t="str">
        <x:v>—</x:v>
      </x:c>
      <x:c r="C52" s="55" t="str">
        <x:v>Implicite</x:v>
      </x:c>
      <x:c r="D52" s="55" t="str">
        <x:v>Omis</x:v>
      </x:c>
      <x:c r="E52" s="55" t="str">
        <x:v>✓</x:v>
      </x:c>
      <x:c r="F52" s="55" t="str">
        <x:v>✓</x:v>
      </x:c>
      <x:c r="G52" s="55" t="str">
        <x:v>—</x:v>
      </x:c>
    </x:row>
    <x:row r="53">
      <x:c r="A53" s="53" t="str">
        <x:v>P-312</x:v>
      </x:c>
      <x:c r="B53" s="55" t="str">
        <x:v>—</x:v>
      </x:c>
      <x:c r="C53" s="55" t="str">
        <x:v>Implicite</x:v>
      </x:c>
      <x:c r="D53" s="55" t="str">
        <x:v>Omis</x:v>
      </x:c>
      <x:c r="E53" s="55" t="str">
        <x:v>✓</x:v>
      </x:c>
      <x:c r="F53" s="55" t="str">
        <x:v>✓</x:v>
      </x:c>
      <x:c r="G53" s="55" t="str">
        <x:v>—</x:v>
      </x:c>
    </x:row>
    <x:row r="54">
      <x:c r="A54" s="53" t="str">
        <x:v>P-328</x:v>
      </x:c>
      <x:c r="B54" s="55" t="str">
        <x:v>—</x:v>
      </x:c>
      <x:c r="C54" s="55" t="str">
        <x:v>Implicite</x:v>
      </x:c>
      <x:c r="D54" s="55" t="str">
        <x:v>Omis</x:v>
      </x:c>
      <x:c r="E54" s="55" t="str">
        <x:v>✓</x:v>
      </x:c>
      <x:c r="F54" s="55" t="str">
        <x:v>✓</x:v>
      </x:c>
      <x:c r="G54" s="55" t="str">
        <x:v>—</x:v>
      </x:c>
    </x:row>
    <x:row r="55">
      <x:c r="A55" s="53" t="str">
        <x:v>P-329</x:v>
      </x:c>
      <x:c r="B55" s="55" t="str">
        <x:v>—</x:v>
      </x:c>
      <x:c r="C55" s="55" t="str">
        <x:v>Implicite</x:v>
      </x:c>
      <x:c r="D55" s="55" t="str">
        <x:v>Omis</x:v>
      </x:c>
      <x:c r="E55" s="55" t="str">
        <x:v>✓</x:v>
      </x:c>
      <x:c r="F55" s="55" t="str">
        <x:v>✓</x:v>
      </x:c>
      <x:c r="G55" s="55" t="str">
        <x:v>—</x:v>
      </x:c>
    </x:row>
    <x:row r="56">
      <x:c r="A56" s="53" t="str">
        <x:v>P-354</x:v>
      </x:c>
      <x:c r="B56" s="55" t="str">
        <x:v>—</x:v>
      </x:c>
      <x:c r="C56" s="55" t="str">
        <x:v>Implicite</x:v>
      </x:c>
      <x:c r="D56" s="55" t="str">
        <x:v>Omis</x:v>
      </x:c>
      <x:c r="E56" s="55" t="str">
        <x:v>✓</x:v>
      </x:c>
      <x:c r="F56" s="55" t="str">
        <x:v>✓</x:v>
      </x:c>
      <x:c r="G56" s="55" t="str">
        <x:v>—</x:v>
      </x:c>
    </x:row>
    <x:row r="57">
      <x:c r="A57" s="53" t="str">
        <x:v>PhotoDocument id=4</x:v>
      </x:c>
      <x:c r="B57" s="55" t="str">
        <x:v>—</x:v>
      </x:c>
      <x:c r="C57" s="55" t="str">
        <x:v>Implicite</x:v>
      </x:c>
      <x:c r="D57" s="55" t="str">
        <x:v>Omis</x:v>
      </x:c>
      <x:c r="E57" s="55" t="str">
        <x:v>✓</x:v>
      </x:c>
      <x:c r="F57" s="55" t="str">
        <x:v>—</x:v>
      </x:c>
      <x:c r="G57" s="55" t="str">
        <x:v>✓</x:v>
      </x:c>
    </x:row>
    <x:row r="58">
      <x:c r="A58" s="53" t="str">
        <x:v>PhotoDocument id=15</x:v>
      </x:c>
      <x:c r="B58" s="55" t="str">
        <x:v>—</x:v>
      </x:c>
      <x:c r="C58" s="55" t="str">
        <x:v>Implicite</x:v>
      </x:c>
      <x:c r="D58" s="55" t="str">
        <x:v>Omis</x:v>
      </x:c>
      <x:c r="E58" s="55" t="str">
        <x:v>✓</x:v>
      </x:c>
      <x:c r="F58" s="55" t="str">
        <x:v>—</x:v>
      </x:c>
      <x:c r="G58" s="55" t="str">
        <x:v>✓</x:v>
      </x:c>
    </x:row>
    <x:row r="59">
      <x:c r="A59" s="53" t="str">
        <x:v>Event id=19</x:v>
      </x:c>
      <x:c r="B59" s="55" t="str">
        <x:v>—</x:v>
      </x:c>
      <x:c r="C59" s="55" t="str">
        <x:v>Implicite</x:v>
      </x:c>
      <x:c r="D59" s="55" t="str">
        <x:v>Omis</x:v>
      </x:c>
      <x:c r="E59" s="55" t="str">
        <x:v>✓</x:v>
      </x:c>
      <x:c r="F59" s="55" t="str">
        <x:v>—</x:v>
      </x:c>
      <x:c r="G59" s="55" t="str">
        <x:v>✓</x:v>
      </x:c>
    </x:row>
    <x:row r="60">
      <x:c r="A60" s="53" t="str">
        <x:v>Email id=81</x:v>
      </x:c>
      <x:c r="B60" s="55" t="str">
        <x:v>—</x:v>
      </x:c>
      <x:c r="C60" s="55" t="str">
        <x:v>Implicite</x:v>
      </x:c>
      <x:c r="D60" s="55" t="str">
        <x:v>Omis</x:v>
      </x:c>
      <x:c r="E60" s="55" t="str">
        <x:v>✓</x:v>
      </x:c>
      <x:c r="F60" s="55" t="str">
        <x:v>—</x:v>
      </x:c>
      <x:c r="G60" s="55" t="str">
        <x:v>✓</x:v>
      </x:c>
    </x:row>
    <x:row r="61">
      <x:c r="A61" s="53" t="str">
        <x:v>Email id=80</x:v>
      </x:c>
      <x:c r="B61" s="55" t="str">
        <x:v>—</x:v>
      </x:c>
      <x:c r="C61" s="55" t="str">
        <x:v>Implicite</x:v>
      </x:c>
      <x:c r="D61" s="55" t="str">
        <x:v>Omis</x:v>
      </x:c>
      <x:c r="E61" s="55" t="str">
        <x:v>✓</x:v>
      </x:c>
      <x:c r="F61" s="55" t="str">
        <x:v>—</x:v>
      </x:c>
      <x:c r="G61" s="55" t="str">
        <x:v>✓</x:v>
      </x:c>
    </x:row>
    <x:row r="62">
      <x:c r="A62" s="53" t="str">
        <x:v>Email id=100</x:v>
      </x:c>
      <x:c r="B62" s="55" t="str">
        <x:v>—</x:v>
      </x:c>
      <x:c r="C62" s="55" t="str">
        <x:v>Implicite</x:v>
      </x:c>
      <x:c r="D62" s="55" t="str">
        <x:v>Omis</x:v>
      </x:c>
      <x:c r="E62" s="55" t="str">
        <x:v>✓</x:v>
      </x:c>
      <x:c r="F62" s="55" t="str">
        <x:v>—</x:v>
      </x:c>
      <x:c r="G62" s="55" t="str">
        <x:v>✓</x:v>
      </x:c>
    </x:row>
    <x:row r="63">
      <x:c r="A63" s="53" t="str">
        <x:v>Event id=46</x:v>
      </x:c>
      <x:c r="B63" s="55" t="str">
        <x:v>—</x:v>
      </x:c>
      <x:c r="C63" s="55" t="str">
        <x:v>Implicite</x:v>
      </x:c>
      <x:c r="D63" s="55" t="str">
        <x:v>Omis</x:v>
      </x:c>
      <x:c r="E63" s="55" t="str">
        <x:v>✓</x:v>
      </x:c>
      <x:c r="F63" s="55" t="str">
        <x:v>—</x:v>
      </x:c>
      <x:c r="G63" s="55" t="str">
        <x:v>✓</x:v>
      </x:c>
    </x:row>
    <x:row r="64">
      <x:c r="A64" s="53" t="str">
        <x:v>Event id=52</x:v>
      </x:c>
      <x:c r="B64" s="55" t="str">
        <x:v>—</x:v>
      </x:c>
      <x:c r="C64" s="55" t="str">
        <x:v>Implicite</x:v>
      </x:c>
      <x:c r="D64" s="55" t="str">
        <x:v>Omis</x:v>
      </x:c>
      <x:c r="E64" s="55" t="str">
        <x:v>✓</x:v>
      </x:c>
      <x:c r="F64" s="55" t="str">
        <x:v>—</x:v>
      </x:c>
      <x:c r="G64" s="55" t="str">
        <x:v>✓</x:v>
      </x:c>
    </x:row>
    <x:row r="65">
      <x:c r="A65" s="53" t="str">
        <x:v>Email id=67</x:v>
      </x:c>
      <x:c r="B65" s="55" t="str">
        <x:v>—</x:v>
      </x:c>
      <x:c r="C65" s="55" t="str">
        <x:v>Implicite</x:v>
      </x:c>
      <x:c r="D65" s="55" t="str">
        <x:v>Omis</x:v>
      </x:c>
      <x:c r="E65" s="55" t="str">
        <x:v>✓</x:v>
      </x:c>
      <x:c r="F65" s="55" t="str">
        <x:v>—</x:v>
      </x:c>
      <x:c r="G65" s="55" t="str">
        <x:v>✓</x:v>
      </x:c>
    </x:row>
    <x:row r="66">
      <x:c r="A66" s="53" t="str">
        <x:v>Email id=114</x:v>
      </x:c>
      <x:c r="B66" s="55" t="str">
        <x:v>—</x:v>
      </x:c>
      <x:c r="C66" s="55" t="str">
        <x:v>Implicite</x:v>
      </x:c>
      <x:c r="D66" s="55" t="str">
        <x:v>Omis</x:v>
      </x:c>
      <x:c r="E66" s="55" t="str">
        <x:v>✓</x:v>
      </x:c>
      <x:c r="F66" s="55" t="str">
        <x:v>—</x:v>
      </x:c>
      <x:c r="G66" s="55" t="str">
        <x:v>✓</x:v>
      </x:c>
    </x:row>
    <x:row r="67">
      <x:c r="A67" s="53" t="str">
        <x:v>Email id=66</x:v>
      </x:c>
      <x:c r="B67" s="55" t="str">
        <x:v>—</x:v>
      </x:c>
      <x:c r="C67" s="55" t="str">
        <x:v>Implicite</x:v>
      </x:c>
      <x:c r="D67" s="55" t="str">
        <x:v>Omis</x:v>
      </x:c>
      <x:c r="E67" s="55" t="str">
        <x:v>✓</x:v>
      </x:c>
      <x:c r="F67" s="55" t="str">
        <x:v>—</x:v>
      </x:c>
      <x:c r="G67" s="55" t="str">
        <x:v>✓</x:v>
      </x:c>
    </x:row>
    <x:row r="68">
      <x:c r="A68" s="53" t="str">
        <x:v>Email id=116</x:v>
      </x:c>
      <x:c r="B68" s="55" t="str">
        <x:v>—</x:v>
      </x:c>
      <x:c r="C68" s="55" t="str">
        <x:v>Implicite</x:v>
      </x:c>
      <x:c r="D68" s="55" t="str">
        <x:v>Omis</x:v>
      </x:c>
      <x:c r="E68" s="55" t="str">
        <x:v>✓</x:v>
      </x:c>
      <x:c r="F68" s="55" t="str">
        <x:v>—</x:v>
      </x:c>
      <x:c r="G68" s="55" t="str">
        <x:v>✓</x:v>
      </x:c>
    </x:row>
    <x:row r="69">
      <x:c r="A69" s="53" t="str">
        <x:v>Email id=115</x:v>
      </x:c>
      <x:c r="B69" s="55" t="str">
        <x:v>—</x:v>
      </x:c>
      <x:c r="C69" s="55" t="str">
        <x:v>Implicite</x:v>
      </x:c>
      <x:c r="D69" s="55" t="str">
        <x:v>Omis</x:v>
      </x:c>
      <x:c r="E69" s="55" t="str">
        <x:v>✓</x:v>
      </x:c>
      <x:c r="F69" s="55" t="str">
        <x:v>—</x:v>
      </x:c>
      <x:c r="G69" s="55" t="str">
        <x:v>✓</x:v>
      </x:c>
    </x:row>
    <x:row r="70">
      <x:c r="A70" s="53" t="str">
        <x:v>Event id=78</x:v>
      </x:c>
      <x:c r="B70" s="55" t="str">
        <x:v>—</x:v>
      </x:c>
      <x:c r="C70" s="55" t="str">
        <x:v>Implicite</x:v>
      </x:c>
      <x:c r="D70" s="55" t="str">
        <x:v>Omis</x:v>
      </x:c>
      <x:c r="E70" s="55" t="str">
        <x:v>✓</x:v>
      </x:c>
      <x:c r="F70" s="55" t="str">
        <x:v>—</x:v>
      </x:c>
      <x:c r="G70" s="55" t="str">
        <x:v>✓</x:v>
      </x:c>
    </x:row>
    <x:row r="71">
      <x:c r="A71" s="53" t="str">
        <x:v>Email id=347</x:v>
      </x:c>
      <x:c r="B71" s="55" t="str">
        <x:v>—</x:v>
      </x:c>
      <x:c r="C71" s="55" t="str">
        <x:v>Implicite</x:v>
      </x:c>
      <x:c r="D71" s="55" t="str">
        <x:v>Omis</x:v>
      </x:c>
      <x:c r="E71" s="55" t="str">
        <x:v>✓</x:v>
      </x:c>
      <x:c r="F71" s="55" t="str">
        <x:v>✓</x:v>
      </x:c>
      <x:c r="G71" s="55" t="str">
        <x:v>✓</x:v>
      </x:c>
    </x:row>
    <x:row r="72">
      <x:c r="A72" s="53" t="str">
        <x:v>Event id=224</x:v>
      </x:c>
      <x:c r="B72" s="55" t="str">
        <x:v>—</x:v>
      </x:c>
      <x:c r="C72" s="55" t="str">
        <x:v>Implicite</x:v>
      </x:c>
      <x:c r="D72" s="55" t="str">
        <x:v>Omis</x:v>
      </x:c>
      <x:c r="E72" s="55" t="str">
        <x:v>✓</x:v>
      </x:c>
      <x:c r="F72" s="55" t="str">
        <x:v>—</x:v>
      </x:c>
      <x:c r="G72" s="55" t="str">
        <x:v>✓</x:v>
      </x:c>
    </x:row>
    <x:row r="73">
      <x:c r="A73" s="53" t="str">
        <x:v>Email id=474</x:v>
      </x:c>
      <x:c r="B73" s="55" t="str">
        <x:v>—</x:v>
      </x:c>
      <x:c r="C73" s="55" t="str">
        <x:v>Implicite</x:v>
      </x:c>
      <x:c r="D73" s="55" t="str">
        <x:v>Omis</x:v>
      </x:c>
      <x:c r="E73" s="55" t="str">
        <x:v>✓</x:v>
      </x:c>
      <x:c r="F73" s="55" t="str">
        <x:v>—</x:v>
      </x:c>
      <x:c r="G73" s="55" t="str">
        <x:v>✓</x:v>
      </x:c>
    </x:row>
    <x:row r="74">
      <x:c r="A74" s="53" t="str">
        <x:v>Event id=274</x:v>
      </x:c>
      <x:c r="B74" s="55" t="str">
        <x:v>—</x:v>
      </x:c>
      <x:c r="C74" s="55" t="str">
        <x:v>Implicite</x:v>
      </x:c>
      <x:c r="D74" s="55" t="str">
        <x:v>Omis</x:v>
      </x:c>
      <x:c r="E74" s="55" t="str">
        <x:v>✓</x:v>
      </x:c>
      <x:c r="F74" s="55" t="str">
        <x:v>—</x:v>
      </x:c>
      <x:c r="G74" s="55" t="str">
        <x:v>✓</x:v>
      </x:c>
    </x:row>
    <x:row r="75">
      <x:c r="A75" s="53" t="str">
        <x:v>Event id=278</x:v>
      </x:c>
      <x:c r="B75" s="55" t="str">
        <x:v>—</x:v>
      </x:c>
      <x:c r="C75" s="55" t="str">
        <x:v>Implicite</x:v>
      </x:c>
      <x:c r="D75" s="55" t="str">
        <x:v>Omis</x:v>
      </x:c>
      <x:c r="E75" s="55" t="str">
        <x:v>✓</x:v>
      </x:c>
      <x:c r="F75" s="55" t="str">
        <x:v>—</x:v>
      </x:c>
      <x:c r="G75" s="55" t="str">
        <x:v>✓</x:v>
      </x:c>
    </x:row>
    <x:row r="76">
      <x:c r="A76" s="53" t="str">
        <x:v>Event id=302</x:v>
      </x:c>
      <x:c r="B76" s="55" t="str">
        <x:v>—</x:v>
      </x:c>
      <x:c r="C76" s="55" t="str">
        <x:v>Implicite</x:v>
      </x:c>
      <x:c r="D76" s="55" t="str">
        <x:v>Omis</x:v>
      </x:c>
      <x:c r="E76" s="55" t="str">
        <x:v>✓</x:v>
      </x:c>
      <x:c r="F76" s="55" t="str">
        <x:v>—</x:v>
      </x:c>
      <x:c r="G76" s="55" t="str">
        <x:v>✓</x:v>
      </x:c>
    </x:row>
    <x:row r="77">
      <x:c r="A77" s="53" t="str">
        <x:v>Email id=304</x:v>
      </x:c>
      <x:c r="B77" s="55" t="str">
        <x:v>—</x:v>
      </x:c>
      <x:c r="C77" s="55" t="str">
        <x:v>Implicite</x:v>
      </x:c>
      <x:c r="D77" s="55" t="str">
        <x:v>Omis</x:v>
      </x:c>
      <x:c r="E77" s="55" t="str">
        <x:v>✓</x:v>
      </x:c>
      <x:c r="F77" s="55" t="str">
        <x:v>—</x:v>
      </x:c>
      <x:c r="G77" s="55" t="str">
        <x:v>✓</x:v>
      </x:c>
    </x:row>
    <x:row r="78">
      <x:c r="A78" s="53" t="str">
        <x:v>Email id=305</x:v>
      </x:c>
      <x:c r="B78" s="55" t="str">
        <x:v>—</x:v>
      </x:c>
      <x:c r="C78" s="55" t="str">
        <x:v>Implicite</x:v>
      </x:c>
      <x:c r="D78" s="55" t="str">
        <x:v>Omis</x:v>
      </x:c>
      <x:c r="E78" s="55" t="str">
        <x:v>✓</x:v>
      </x:c>
      <x:c r="F78" s="55" t="str">
        <x:v>—</x:v>
      </x:c>
      <x:c r="G78" s="55" t="str">
        <x:v>✓</x:v>
      </x:c>
    </x:row>
    <x:row r="79">
      <x:c r="A79" s="53" t="str">
        <x:v>Email id=7</x:v>
      </x:c>
      <x:c r="B79" s="55" t="str">
        <x:v>—</x:v>
      </x:c>
      <x:c r="C79" s="55" t="str">
        <x:v>Implicite</x:v>
      </x:c>
      <x:c r="D79" s="55" t="str">
        <x:v>Omis</x:v>
      </x:c>
      <x:c r="E79" s="55" t="str">
        <x:v>✓</x:v>
      </x:c>
      <x:c r="F79" s="55" t="str">
        <x:v>—</x:v>
      </x:c>
      <x:c r="G79" s="55" t="str">
        <x:v>✓</x:v>
      </x:c>
    </x:row>
    <x:row r="80">
      <x:c r="A80" s="53" t="str">
        <x:v>Email id=89</x:v>
      </x:c>
      <x:c r="B80" s="55" t="str">
        <x:v>—</x:v>
      </x:c>
      <x:c r="C80" s="55" t="str">
        <x:v>Implicite</x:v>
      </x:c>
      <x:c r="D80" s="55" t="str">
        <x:v>Omis</x:v>
      </x:c>
      <x:c r="E80" s="55" t="str">
        <x:v>✓</x:v>
      </x:c>
      <x:c r="F80" s="55" t="str">
        <x:v>—</x:v>
      </x:c>
      <x:c r="G80" s="55" t="str">
        <x:v>✓</x:v>
      </x:c>
    </x:row>
    <x:row r="81">
      <x:c r="A81" s="53" t="str">
        <x:v>Email id=87</x:v>
      </x:c>
      <x:c r="B81" s="55" t="str">
        <x:v>—</x:v>
      </x:c>
      <x:c r="C81" s="55" t="str">
        <x:v>Implicite</x:v>
      </x:c>
      <x:c r="D81" s="55" t="str">
        <x:v>Omis</x:v>
      </x:c>
      <x:c r="E81" s="55" t="str">
        <x:v>✓</x:v>
      </x:c>
      <x:c r="F81" s="55" t="str">
        <x:v>—</x:v>
      </x:c>
      <x:c r="G81" s="55" t="str">
        <x:v>✓</x:v>
      </x:c>
    </x:row>
    <x:row r="82">
      <x:c r="A82" s="53" t="str">
        <x:v>Email id=95</x:v>
      </x:c>
      <x:c r="B82" s="55" t="str">
        <x:v>—</x:v>
      </x:c>
      <x:c r="C82" s="55" t="str">
        <x:v>Implicite</x:v>
      </x:c>
      <x:c r="D82" s="55" t="str">
        <x:v>Omis</x:v>
      </x:c>
      <x:c r="E82" s="55" t="str">
        <x:v>✓</x:v>
      </x:c>
      <x:c r="F82" s="55" t="str">
        <x:v>—</x:v>
      </x:c>
      <x:c r="G82" s="55" t="str">
        <x:v>✓</x:v>
      </x:c>
    </x:row>
    <x:row r="83">
      <x:c r="A83" s="53" t="str">
        <x:v>piece_thread-67_email-82.md</x:v>
      </x:c>
      <x:c r="B83" s="55" t="str">
        <x:v>—</x:v>
      </x:c>
      <x:c r="C83" s="55" t="str">
        <x:v>—</x:v>
      </x:c>
      <x:c r="D83" s="55" t="str">
        <x:v>Omis</x:v>
      </x:c>
      <x:c r="E83" s="55" t="str">
        <x:v>✓</x:v>
      </x:c>
      <x:c r="F83" s="55" t="str">
        <x:v>—</x:v>
      </x:c>
      <x:c r="G83" s="55" t="str">
        <x:v>✓</x:v>
      </x:c>
    </x:row>
    <x:row r="84">
      <x:c r="A84" s="53" t="str">
        <x:v>P-22</x:v>
      </x:c>
      <x:c r="B84" s="55" t="str">
        <x:v>—</x:v>
      </x:c>
      <x:c r="C84" s="55" t="str">
        <x:v>Implicite</x:v>
      </x:c>
      <x:c r="D84" s="55" t="str">
        <x:v>Omis</x:v>
      </x:c>
      <x:c r="E84" s="55" t="str">
        <x:v>✓</x:v>
      </x:c>
      <x:c r="F84" s="55" t="str">
        <x:v>✓</x:v>
      </x:c>
      <x:c r="G84" s="55" t="str">
        <x:v>—</x:v>
      </x:c>
    </x:row>
    <x:row r="85">
      <x:c r="A85" s="53" t="str">
        <x:v>P-48</x:v>
      </x:c>
      <x:c r="B85" s="55" t="str">
        <x:v>—</x:v>
      </x:c>
      <x:c r="C85" s="55" t="str">
        <x:v>Implicite</x:v>
      </x:c>
      <x:c r="D85" s="55" t="str">
        <x:v>Omis</x:v>
      </x:c>
      <x:c r="E85" s="55" t="str">
        <x:v>✓</x:v>
      </x:c>
      <x:c r="F85" s="55" t="str">
        <x:v>✓</x:v>
      </x:c>
      <x:c r="G85" s="55" t="str">
        <x:v>—</x:v>
      </x:c>
    </x:row>
    <x:row r="86">
      <x:c r="A86" s="53" t="str">
        <x:v>P-49</x:v>
      </x:c>
      <x:c r="B86" s="55" t="str">
        <x:v>—</x:v>
      </x:c>
      <x:c r="C86" s="55" t="str">
        <x:v>Implicite</x:v>
      </x:c>
      <x:c r="D86" s="55" t="str">
        <x:v>Omis</x:v>
      </x:c>
      <x:c r="E86" s="55" t="str">
        <x:v>✓</x:v>
      </x:c>
      <x:c r="F86" s="55" t="str">
        <x:v>✓</x:v>
      </x:c>
      <x:c r="G86" s="55" t="str">
        <x:v>—</x:v>
      </x:c>
    </x:row>
    <x:row r="87">
      <x:c r="A87" s="53" t="str">
        <x:v>P-391</x:v>
      </x:c>
      <x:c r="B87" s="55" t="str">
        <x:v>—</x:v>
      </x:c>
      <x:c r="C87" s="55" t="str">
        <x:v>Implicite</x:v>
      </x:c>
      <x:c r="D87" s="55" t="str">
        <x:v>Omis</x:v>
      </x:c>
      <x:c r="E87" s="55" t="str">
        <x:v>✓</x:v>
      </x:c>
      <x:c r="F87" s="55" t="str">
        <x:v>✓</x:v>
      </x:c>
      <x:c r="G87" s="55" t="str">
        <x:v>—</x:v>
      </x:c>
    </x:row>
    <x:row r="88">
      <x:c r="A88" s="53" t="str">
        <x:v>Email id=54</x:v>
      </x:c>
      <x:c r="B88" s="55" t="str">
        <x:v>—</x:v>
      </x:c>
      <x:c r="C88" s="55" t="str">
        <x:v>Implicite</x:v>
      </x:c>
      <x:c r="D88" s="55" t="str">
        <x:v>Omis</x:v>
      </x:c>
      <x:c r="E88" s="55" t="str">
        <x:v>✓</x:v>
      </x:c>
      <x:c r="F88" s="55" t="str">
        <x:v>✓</x:v>
      </x:c>
      <x:c r="G88" s="55" t="str">
        <x:v>✓</x:v>
      </x:c>
    </x:row>
    <x:row r="89">
      <x:c r="A89" s="53" t="str">
        <x:v>Event id=213</x:v>
      </x:c>
      <x:c r="B89" s="55" t="str">
        <x:v>—</x:v>
      </x:c>
      <x:c r="C89" s="55" t="str">
        <x:v>Implicite</x:v>
      </x:c>
      <x:c r="D89" s="55" t="str">
        <x:v>Omis</x:v>
      </x:c>
      <x:c r="E89" s="55" t="str">
        <x:v>✓</x:v>
      </x:c>
      <x:c r="F89" s="55" t="str">
        <x:v>—</x:v>
      </x:c>
      <x:c r="G89" s="55" t="str">
        <x:v>✓</x:v>
      </x:c>
    </x:row>
    <x:row r="90">
      <x:c r="A90" s="53" t="str">
        <x:v>Event id=214</x:v>
      </x:c>
      <x:c r="B90" s="55" t="str">
        <x:v>—</x:v>
      </x:c>
      <x:c r="C90" s="55" t="str">
        <x:v>Implicite</x:v>
      </x:c>
      <x:c r="D90" s="55" t="str">
        <x:v>Omis</x:v>
      </x:c>
      <x:c r="E90" s="55" t="str">
        <x:v>✓</x:v>
      </x:c>
      <x:c r="F90" s="55" t="str">
        <x:v>—</x:v>
      </x:c>
      <x:c r="G90" s="55" t="str">
        <x:v>✓</x:v>
      </x:c>
    </x:row>
    <x:row r="91">
      <x:c r="A91" s="53" t="str">
        <x:v>Email id=369</x:v>
      </x:c>
      <x:c r="B91" s="55" t="str">
        <x:v>—</x:v>
      </x:c>
      <x:c r="C91" s="55" t="str">
        <x:v>Implicite</x:v>
      </x:c>
      <x:c r="D91" s="55" t="str">
        <x:v>Omis</x:v>
      </x:c>
      <x:c r="E91" s="55" t="str">
        <x:v>✓</x:v>
      </x:c>
      <x:c r="F91" s="55" t="str">
        <x:v>—</x:v>
      </x:c>
      <x:c r="G91" s="55" t="str">
        <x:v>✓</x:v>
      </x:c>
    </x:row>
    <x:row r="92">
      <x:c r="A92" s="53" t="str">
        <x:v>Email id=370</x:v>
      </x:c>
      <x:c r="B92" s="55" t="str">
        <x:v>—</x:v>
      </x:c>
      <x:c r="C92" s="55" t="str">
        <x:v>Implicite</x:v>
      </x:c>
      <x:c r="D92" s="55" t="str">
        <x:v>Omis</x:v>
      </x:c>
      <x:c r="E92" s="55" t="str">
        <x:v>✓</x:v>
      </x:c>
      <x:c r="F92" s="55" t="str">
        <x:v>—</x:v>
      </x:c>
      <x:c r="G92" s="55" t="str">
        <x:v>✓</x:v>
      </x:c>
    </x:row>
    <x:row r="93">
      <x:c r="A93" s="53" t="str">
        <x:v>Email id=29</x:v>
      </x:c>
      <x:c r="B93" s="55" t="str">
        <x:v>—</x:v>
      </x:c>
      <x:c r="C93" s="55" t="str">
        <x:v>Implicite</x:v>
      </x:c>
      <x:c r="D93" s="55" t="str">
        <x:v>Omis</x:v>
      </x:c>
      <x:c r="E93" s="55" t="str">
        <x:v>✓</x:v>
      </x:c>
      <x:c r="F93" s="55" t="str">
        <x:v>—</x:v>
      </x:c>
      <x:c r="G93" s="55" t="str">
        <x:v>✓</x:v>
      </x:c>
    </x:row>
    <x:row r="94">
      <x:c r="A94" s="53" t="str">
        <x:v>Email id=371</x:v>
      </x:c>
      <x:c r="B94" s="55" t="str">
        <x:v>—</x:v>
      </x:c>
      <x:c r="C94" s="55" t="str">
        <x:v>Implicite</x:v>
      </x:c>
      <x:c r="D94" s="55" t="str">
        <x:v>Omis</x:v>
      </x:c>
      <x:c r="E94" s="55" t="str">
        <x:v>✓</x:v>
      </x:c>
      <x:c r="F94" s="55" t="str">
        <x:v>—</x:v>
      </x:c>
      <x:c r="G94" s="55" t="str">
        <x:v>✓</x:v>
      </x:c>
    </x:row>
    <x:row r="95">
      <x:c r="A95" s="53" t="str">
        <x:v>P-318</x:v>
      </x:c>
      <x:c r="B95" s="55" t="str">
        <x:v>—</x:v>
      </x:c>
      <x:c r="C95" s="55" t="str">
        <x:v>Implicite</x:v>
      </x:c>
      <x:c r="D95" s="55" t="str">
        <x:v>Omis</x:v>
      </x:c>
      <x:c r="E95" s="55" t="str">
        <x:v>✓</x:v>
      </x:c>
      <x:c r="F95" s="55" t="str">
        <x:v>✓</x:v>
      </x:c>
      <x:c r="G95" s="55" t="str">
        <x:v>—</x:v>
      </x:c>
    </x:row>
    <x:row r="96">
      <x:c r="A96" s="53" t="str">
        <x:v>P-325</x:v>
      </x:c>
      <x:c r="B96" s="55" t="str">
        <x:v>—</x:v>
      </x:c>
      <x:c r="C96" s="55" t="str">
        <x:v>Implicite</x:v>
      </x:c>
      <x:c r="D96" s="55" t="str">
        <x:v>Omis</x:v>
      </x:c>
      <x:c r="E96" s="55" t="str">
        <x:v>✓</x:v>
      </x:c>
      <x:c r="F96" s="55" t="str">
        <x:v>✓</x:v>
      </x:c>
      <x:c r="G96" s="55" t="str">
        <x:v>—</x:v>
      </x:c>
    </x:row>
    <x:row r="97">
      <x:c r="A97" s="53" t="str">
        <x:v>Event id=239</x:v>
      </x:c>
      <x:c r="B97" s="55" t="str">
        <x:v>—</x:v>
      </x:c>
      <x:c r="C97" s="55" t="str">
        <x:v>Implicite</x:v>
      </x:c>
      <x:c r="D97" s="55" t="str">
        <x:v>Omis</x:v>
      </x:c>
      <x:c r="E97" s="55" t="str">
        <x:v>✓</x:v>
      </x:c>
      <x:c r="F97" s="55" t="str">
        <x:v>✓</x:v>
      </x:c>
      <x:c r="G97" s="55" t="str">
        <x:v>✓</x:v>
      </x:c>
    </x:row>
    <x:row r="98">
      <x:c r="A98" s="53" t="str">
        <x:v>Email id=32</x:v>
      </x:c>
      <x:c r="B98" s="55" t="str">
        <x:v>—</x:v>
      </x:c>
      <x:c r="C98" s="55" t="str">
        <x:v>Implicite</x:v>
      </x:c>
      <x:c r="D98" s="55" t="str">
        <x:v>Omis</x:v>
      </x:c>
      <x:c r="E98" s="55" t="str">
        <x:v>✓</x:v>
      </x:c>
      <x:c r="F98" s="55" t="str">
        <x:v>✓</x:v>
      </x:c>
      <x:c r="G98" s="55" t="str">
        <x:v>✓</x:v>
      </x:c>
    </x:row>
    <x:row r="99">
      <x:c r="A99" s="53" t="str">
        <x:v>Event id=263</x:v>
      </x:c>
      <x:c r="B99" s="55" t="str">
        <x:v>—</x:v>
      </x:c>
      <x:c r="C99" s="55" t="str">
        <x:v>Implicite</x:v>
      </x:c>
      <x:c r="D99" s="55" t="str">
        <x:v>Omis</x:v>
      </x:c>
      <x:c r="E99" s="55" t="str">
        <x:v>✓</x:v>
      </x:c>
      <x:c r="F99" s="55" t="str">
        <x:v>—</x:v>
      </x:c>
      <x:c r="G99" s="55" t="str">
        <x:v>✓</x:v>
      </x:c>
    </x:row>
    <x:row r="100">
      <x:c r="A100" s="53" t="str">
        <x:v>ChatMessage id=111</x:v>
      </x:c>
      <x:c r="B100" s="55" t="str">
        <x:v>—</x:v>
      </x:c>
      <x:c r="C100" s="55" t="str">
        <x:v>Implicite</x:v>
      </x:c>
      <x:c r="D100" s="55" t="str">
        <x:v>Omis</x:v>
      </x:c>
      <x:c r="E100" s="55" t="str">
        <x:v>✓</x:v>
      </x:c>
      <x:c r="F100" s="55" t="str">
        <x:v>—</x:v>
      </x:c>
      <x:c r="G100" s="55" t="str">
        <x:v>✓</x:v>
      </x:c>
    </x:row>
    <x:row r="101">
      <x:c r="A101" s="53" t="str">
        <x:v>ChatMessage id=126</x:v>
      </x:c>
      <x:c r="B101" s="55" t="str">
        <x:v>—</x:v>
      </x:c>
      <x:c r="C101" s="55" t="str">
        <x:v>Implicite</x:v>
      </x:c>
      <x:c r="D101" s="55" t="str">
        <x:v>Omis</x:v>
      </x:c>
      <x:c r="E101" s="55" t="str">
        <x:v>✓</x:v>
      </x:c>
      <x:c r="F101" s="55" t="str">
        <x:v>—</x:v>
      </x:c>
      <x:c r="G101" s="55" t="str">
        <x:v>✓</x:v>
      </x:c>
    </x:row>
    <x:row r="102">
      <x:c r="A102" s="53" t="str">
        <x:v>ChatMessage id=127</x:v>
      </x:c>
      <x:c r="B102" s="55" t="str">
        <x:v>—</x:v>
      </x:c>
      <x:c r="C102" s="55" t="str">
        <x:v>Implicite</x:v>
      </x:c>
      <x:c r="D102" s="55" t="str">
        <x:v>Omis</x:v>
      </x:c>
      <x:c r="E102" s="55" t="str">
        <x:v>✓</x:v>
      </x:c>
      <x:c r="F102" s="55" t="str">
        <x:v>—</x:v>
      </x:c>
      <x:c r="G102" s="55" t="str">
        <x:v>✓</x:v>
      </x:c>
    </x:row>
    <x:row r="103">
      <x:c r="A103" s="53" t="str">
        <x:v>ChatMessage id=129</x:v>
      </x:c>
      <x:c r="B103" s="55" t="str">
        <x:v>—</x:v>
      </x:c>
      <x:c r="C103" s="55" t="str">
        <x:v>Implicite</x:v>
      </x:c>
      <x:c r="D103" s="55" t="str">
        <x:v>Omis</x:v>
      </x:c>
      <x:c r="E103" s="55" t="str">
        <x:v>✓</x:v>
      </x:c>
      <x:c r="F103" s="55" t="str">
        <x:v>—</x:v>
      </x:c>
      <x:c r="G103" s="55" t="str">
        <x:v>✓</x:v>
      </x:c>
    </x:row>
    <x:row r="104">
      <x:c r="A104" s="53" t="str">
        <x:v>ChatMessage id=131</x:v>
      </x:c>
      <x:c r="B104" s="55" t="str">
        <x:v>—</x:v>
      </x:c>
      <x:c r="C104" s="55" t="str">
        <x:v>Implicite</x:v>
      </x:c>
      <x:c r="D104" s="55" t="str">
        <x:v>Omis</x:v>
      </x:c>
      <x:c r="E104" s="55" t="str">
        <x:v>✓</x:v>
      </x:c>
      <x:c r="F104" s="55" t="str">
        <x:v>—</x:v>
      </x:c>
      <x:c r="G104" s="55" t="str">
        <x:v>✓</x:v>
      </x:c>
    </x:row>
    <x:row r="105">
      <x:c r="A105" s="53" t="str">
        <x:v>ChatMessage id=133</x:v>
      </x:c>
      <x:c r="B105" s="55" t="str">
        <x:v>—</x:v>
      </x:c>
      <x:c r="C105" s="55" t="str">
        <x:v>Implicite</x:v>
      </x:c>
      <x:c r="D105" s="55" t="str">
        <x:v>Omis</x:v>
      </x:c>
      <x:c r="E105" s="55" t="str">
        <x:v>✓</x:v>
      </x:c>
      <x:c r="F105" s="55" t="str">
        <x:v>—</x:v>
      </x:c>
      <x:c r="G105" s="55" t="str">
        <x:v>✓</x:v>
      </x:c>
    </x:row>
    <x:row r="106">
      <x:c r="A106" s="53" t="str">
        <x:v>ChatMessage id=138</x:v>
      </x:c>
      <x:c r="B106" s="55" t="str">
        <x:v>—</x:v>
      </x:c>
      <x:c r="C106" s="55" t="str">
        <x:v>Implicite</x:v>
      </x:c>
      <x:c r="D106" s="55" t="str">
        <x:v>Omis</x:v>
      </x:c>
      <x:c r="E106" s="55" t="str">
        <x:v>✓</x:v>
      </x:c>
      <x:c r="F106" s="55" t="str">
        <x:v>—</x:v>
      </x:c>
      <x:c r="G106" s="55" t="str">
        <x:v>✓</x:v>
      </x:c>
    </x:row>
    <x:row r="107">
      <x:c r="A107" s="53" t="str">
        <x:v>ChatMessage id=142</x:v>
      </x:c>
      <x:c r="B107" s="55" t="str">
        <x:v>—</x:v>
      </x:c>
      <x:c r="C107" s="55" t="str">
        <x:v>Implicite</x:v>
      </x:c>
      <x:c r="D107" s="55" t="str">
        <x:v>Omis</x:v>
      </x:c>
      <x:c r="E107" s="55" t="str">
        <x:v>✓</x:v>
      </x:c>
      <x:c r="F107" s="55" t="str">
        <x:v>—</x:v>
      </x:c>
      <x:c r="G107" s="55" t="str">
        <x:v>✓</x:v>
      </x:c>
    </x:row>
    <x:row r="108">
      <x:c r="A108" s="53" t="str">
        <x:v>ChatMessage id=143</x:v>
      </x:c>
      <x:c r="B108" s="55" t="str">
        <x:v>—</x:v>
      </x:c>
      <x:c r="C108" s="55" t="str">
        <x:v>Implicite</x:v>
      </x:c>
      <x:c r="D108" s="55" t="str">
        <x:v>Omis</x:v>
      </x:c>
      <x:c r="E108" s="55" t="str">
        <x:v>✓</x:v>
      </x:c>
      <x:c r="F108" s="55" t="str">
        <x:v>—</x:v>
      </x:c>
      <x:c r="G108" s="55" t="str">
        <x:v>✓</x:v>
      </x:c>
    </x:row>
    <x:row r="109">
      <x:c r="A109" s="53" t="str">
        <x:v>ChatMessage id=145</x:v>
      </x:c>
      <x:c r="B109" s="55" t="str">
        <x:v>—</x:v>
      </x:c>
      <x:c r="C109" s="55" t="str">
        <x:v>Implicite</x:v>
      </x:c>
      <x:c r="D109" s="55" t="str">
        <x:v>Omis</x:v>
      </x:c>
      <x:c r="E109" s="55" t="str">
        <x:v>✓</x:v>
      </x:c>
      <x:c r="F109" s="55" t="str">
        <x:v>—</x:v>
      </x:c>
      <x:c r="G109" s="55" t="str">
        <x:v>✓</x:v>
      </x:c>
    </x:row>
    <x:row r="110">
      <x:c r="A110" s="53" t="str">
        <x:v>ChatMessage id=146</x:v>
      </x:c>
      <x:c r="B110" s="55" t="str">
        <x:v>—</x:v>
      </x:c>
      <x:c r="C110" s="55" t="str">
        <x:v>Implicite</x:v>
      </x:c>
      <x:c r="D110" s="55" t="str">
        <x:v>Omis</x:v>
      </x:c>
      <x:c r="E110" s="55" t="str">
        <x:v>✓</x:v>
      </x:c>
      <x:c r="F110" s="55" t="str">
        <x:v>—</x:v>
      </x:c>
      <x:c r="G110" s="55" t="str">
        <x:v>✓</x:v>
      </x:c>
    </x:row>
    <x:row r="111">
      <x:c r="A111" s="53" t="str">
        <x:v>P-4</x:v>
      </x:c>
      <x:c r="B111" s="55" t="str">
        <x:v>—</x:v>
      </x:c>
      <x:c r="C111" s="55" t="str">
        <x:v>Implicite</x:v>
      </x:c>
      <x:c r="D111" s="55" t="str">
        <x:v>Omis</x:v>
      </x:c>
      <x:c r="E111" s="55" t="str">
        <x:v>✓</x:v>
      </x:c>
      <x:c r="F111" s="55" t="str">
        <x:v>✓</x:v>
      </x:c>
      <x:c r="G111" s="55" t="str">
        <x:v>—</x:v>
      </x:c>
    </x:row>
    <x:row r="112">
      <x:c r="A112" s="53" t="str">
        <x:v>P-5</x:v>
      </x:c>
      <x:c r="B112" s="55" t="str">
        <x:v>—</x:v>
      </x:c>
      <x:c r="C112" s="55" t="str">
        <x:v>Implicite</x:v>
      </x:c>
      <x:c r="D112" s="55" t="str">
        <x:v>Omis</x:v>
      </x:c>
      <x:c r="E112" s="55" t="str">
        <x:v>✓</x:v>
      </x:c>
      <x:c r="F112" s="55" t="str">
        <x:v>✓</x:v>
      </x:c>
      <x:c r="G112" s="55" t="str">
        <x:v>—</x:v>
      </x:c>
    </x:row>
    <x:row r="113">
      <x:c r="A113" s="53" t="str">
        <x:v>P-65</x:v>
      </x:c>
      <x:c r="B113" s="55" t="str">
        <x:v>—</x:v>
      </x:c>
      <x:c r="C113" s="55" t="str">
        <x:v>Implicite</x:v>
      </x:c>
      <x:c r="D113" s="55" t="str">
        <x:v>Omis</x:v>
      </x:c>
      <x:c r="E113" s="55" t="str">
        <x:v>✓</x:v>
      </x:c>
      <x:c r="F113" s="55" t="str">
        <x:v>✓</x:v>
      </x:c>
      <x:c r="G113" s="55" t="str">
        <x:v>—</x:v>
      </x:c>
    </x:row>
    <x:row r="114">
      <x:c r="A114" s="53" t="str">
        <x:v>P-155</x:v>
      </x:c>
      <x:c r="B114" s="55" t="str">
        <x:v>—</x:v>
      </x:c>
      <x:c r="C114" s="55" t="str">
        <x:v>Implicite</x:v>
      </x:c>
      <x:c r="D114" s="55" t="str">
        <x:v>Omis</x:v>
      </x:c>
      <x:c r="E114" s="55" t="str">
        <x:v>✓</x:v>
      </x:c>
      <x:c r="F114" s="55" t="str">
        <x:v>✓</x:v>
      </x:c>
      <x:c r="G114" s="55" t="str">
        <x:v>—</x:v>
      </x:c>
    </x:row>
    <x:row r="115">
      <x:c r="A115" s="53" t="str">
        <x:v>P-173</x:v>
      </x:c>
      <x:c r="B115" s="55" t="str">
        <x:v>—</x:v>
      </x:c>
      <x:c r="C115" s="55" t="str">
        <x:v>Implicite</x:v>
      </x:c>
      <x:c r="D115" s="55" t="str">
        <x:v>Omis</x:v>
      </x:c>
      <x:c r="E115" s="55" t="str">
        <x:v>✓</x:v>
      </x:c>
      <x:c r="F115" s="55" t="str">
        <x:v>✓</x:v>
      </x:c>
      <x:c r="G115" s="55" t="str">
        <x:v>—</x:v>
      </x:c>
    </x:row>
    <x:row r="116">
      <x:c r="A116" s="53" t="str">
        <x:v>P-223</x:v>
      </x:c>
      <x:c r="B116" s="55" t="str">
        <x:v>—</x:v>
      </x:c>
      <x:c r="C116" s="55" t="str">
        <x:v>Implicite</x:v>
      </x:c>
      <x:c r="D116" s="55" t="str">
        <x:v>Omis</x:v>
      </x:c>
      <x:c r="E116" s="55" t="str">
        <x:v>✓</x:v>
      </x:c>
      <x:c r="F116" s="55" t="str">
        <x:v>✓</x:v>
      </x:c>
      <x:c r="G116" s="55" t="str">
        <x:v>—</x:v>
      </x:c>
    </x:row>
    <x:row r="117">
      <x:c r="A117" s="53" t="str">
        <x:v>P-226</x:v>
      </x:c>
      <x:c r="B117" s="55" t="str">
        <x:v>—</x:v>
      </x:c>
      <x:c r="C117" s="55" t="str">
        <x:v>Implicite</x:v>
      </x:c>
      <x:c r="D117" s="55" t="str">
        <x:v>Omis</x:v>
      </x:c>
      <x:c r="E117" s="55" t="str">
        <x:v>✓</x:v>
      </x:c>
      <x:c r="F117" s="55" t="str">
        <x:v>✓</x:v>
      </x:c>
      <x:c r="G117" s="55" t="str">
        <x:v>—</x:v>
      </x:c>
    </x:row>
    <x:row r="118">
      <x:c r="A118" s="53" t="str">
        <x:v>P-326</x:v>
      </x:c>
      <x:c r="B118" s="55" t="str">
        <x:v>—</x:v>
      </x:c>
      <x:c r="C118" s="55" t="str">
        <x:v>Implicite</x:v>
      </x:c>
      <x:c r="D118" s="55" t="str">
        <x:v>Omis</x:v>
      </x:c>
      <x:c r="E118" s="55" t="str">
        <x:v>✓</x:v>
      </x:c>
      <x:c r="F118" s="55" t="str">
        <x:v>✓</x:v>
      </x:c>
      <x:c r="G118" s="55" t="str">
        <x:v>—</x:v>
      </x:c>
    </x:row>
    <x:row r="119">
      <x:c r="A119" s="53" t="str">
        <x:v>P-238</x:v>
      </x:c>
      <x:c r="B119" s="55" t="str">
        <x:v>—</x:v>
      </x:c>
      <x:c r="C119" s="55" t="str">
        <x:v>Implicite</x:v>
      </x:c>
      <x:c r="D119" s="55" t="str">
        <x:v>Omis</x:v>
      </x:c>
      <x:c r="E119" s="55" t="str">
        <x:v>✓</x:v>
      </x:c>
      <x:c r="F119" s="55" t="str">
        <x:v>✓</x:v>
      </x:c>
      <x:c r="G119" s="55" t="str">
        <x:v>—</x:v>
      </x:c>
    </x:row>
    <x:row r="120">
      <x:c r="A120" s="53" t="str">
        <x:v>P-282</x:v>
      </x:c>
      <x:c r="B120" s="55" t="str">
        <x:v>—</x:v>
      </x:c>
      <x:c r="C120" s="55" t="str">
        <x:v>Implicite</x:v>
      </x:c>
      <x:c r="D120" s="55" t="str">
        <x:v>Omis</x:v>
      </x:c>
      <x:c r="E120" s="55" t="str">
        <x:v>✓</x:v>
      </x:c>
      <x:c r="F120" s="55" t="str">
        <x:v>✓</x:v>
      </x:c>
      <x:c r="G120" s="55" t="str">
        <x:v>—</x:v>
      </x:c>
    </x:row>
    <x:row r="121">
      <x:c r="A121" s="53" t="str">
        <x:v>P-12</x:v>
      </x:c>
      <x:c r="B121" s="55" t="str">
        <x:v>—</x:v>
      </x:c>
      <x:c r="C121" s="55" t="str">
        <x:v>Implicite</x:v>
      </x:c>
      <x:c r="D121" s="55" t="str">
        <x:v>Omis</x:v>
      </x:c>
      <x:c r="E121" s="55" t="str">
        <x:v>✓</x:v>
      </x:c>
      <x:c r="F121" s="55" t="str">
        <x:v>✓</x:v>
      </x:c>
      <x:c r="G121" s="55" t="str">
        <x:v>—</x:v>
      </x:c>
    </x:row>
    <x:row r="122">
      <x:c r="A122" s="53" t="str">
        <x:v>P-81</x:v>
      </x:c>
      <x:c r="B122" s="55" t="str">
        <x:v>—</x:v>
      </x:c>
      <x:c r="C122" s="55" t="str">
        <x:v>Implicite</x:v>
      </x:c>
      <x:c r="D122" s="55" t="str">
        <x:v>Omis</x:v>
      </x:c>
      <x:c r="E122" s="55" t="str">
        <x:v>✓</x:v>
      </x:c>
      <x:c r="F122" s="55" t="str">
        <x:v>✓</x:v>
      </x:c>
      <x:c r="G122" s="55" t="str">
        <x:v>—</x:v>
      </x:c>
    </x:row>
    <x:row r="123">
      <x:c r="A123" s="53" t="str">
        <x:v>P-82</x:v>
      </x:c>
      <x:c r="B123" s="55" t="str">
        <x:v>—</x:v>
      </x:c>
      <x:c r="C123" s="55" t="str">
        <x:v>Implicite</x:v>
      </x:c>
      <x:c r="D123" s="55" t="str">
        <x:v>Omis</x:v>
      </x:c>
      <x:c r="E123" s="55" t="str">
        <x:v>✓</x:v>
      </x:c>
      <x:c r="F123" s="55" t="str">
        <x:v>✓</x:v>
      </x:c>
      <x:c r="G123" s="55" t="str">
        <x:v>—</x:v>
      </x:c>
    </x:row>
    <x:row r="124">
      <x:c r="A124" s="53" t="str">
        <x:v>P-193</x:v>
      </x:c>
      <x:c r="B124" s="55" t="str">
        <x:v>—</x:v>
      </x:c>
      <x:c r="C124" s="55" t="str">
        <x:v>Implicite</x:v>
      </x:c>
      <x:c r="D124" s="55" t="str">
        <x:v>Omis</x:v>
      </x:c>
      <x:c r="E124" s="55" t="str">
        <x:v>✓</x:v>
      </x:c>
      <x:c r="F124" s="55" t="str">
        <x:v>✓</x:v>
      </x:c>
      <x:c r="G124" s="55" t="str">
        <x:v>—</x:v>
      </x:c>
    </x:row>
    <x:row r="125">
      <x:c r="A125" s="53" t="str">
        <x:v>P-236</x:v>
      </x:c>
      <x:c r="B125" s="55" t="str">
        <x:v>—</x:v>
      </x:c>
      <x:c r="C125" s="55" t="str">
        <x:v>Implicite</x:v>
      </x:c>
      <x:c r="D125" s="55" t="str">
        <x:v>Omis</x:v>
      </x:c>
      <x:c r="E125" s="55" t="str">
        <x:v>✓</x:v>
      </x:c>
      <x:c r="F125" s="55" t="str">
        <x:v>✓</x:v>
      </x:c>
      <x:c r="G125" s="55" t="str">
        <x:v>—</x:v>
      </x:c>
    </x:row>
    <x:row r="126">
      <x:c r="A126" s="53" t="str">
        <x:v>P-316</x:v>
      </x:c>
      <x:c r="B126" s="55" t="str">
        <x:v>—</x:v>
      </x:c>
      <x:c r="C126" s="55" t="str">
        <x:v>Implicite</x:v>
      </x:c>
      <x:c r="D126" s="55" t="str">
        <x:v>Omis</x:v>
      </x:c>
      <x:c r="E126" s="55" t="str">
        <x:v>✓</x:v>
      </x:c>
      <x:c r="F126" s="55" t="str">
        <x:v>✓</x:v>
      </x:c>
      <x:c r="G126" s="55" t="str">
        <x:v>—</x:v>
      </x:c>
    </x:row>
    <x:row r="127">
      <x:c r="A127" s="53" t="str">
        <x:v>P-194</x:v>
      </x:c>
      <x:c r="B127" s="55" t="str">
        <x:v>—</x:v>
      </x:c>
      <x:c r="C127" s="55" t="str">
        <x:v>Implicite</x:v>
      </x:c>
      <x:c r="D127" s="55" t="str">
        <x:v>Omis</x:v>
      </x:c>
      <x:c r="E127" s="55" t="str">
        <x:v>✓</x:v>
      </x:c>
      <x:c r="F127" s="55" t="str">
        <x:v>✓</x:v>
      </x:c>
      <x:c r="G127" s="55" t="str">
        <x:v>—</x:v>
      </x:c>
    </x:row>
    <x:row r="128">
      <x:c r="A128" s="53" t="str">
        <x:v>P-101</x:v>
      </x:c>
      <x:c r="B128" s="55" t="str">
        <x:v>—</x:v>
      </x:c>
      <x:c r="C128" s="55" t="str">
        <x:v>Implicite</x:v>
      </x:c>
      <x:c r="D128" s="55" t="str">
        <x:v>Omis</x:v>
      </x:c>
      <x:c r="E128" s="55" t="str">
        <x:v>✓</x:v>
      </x:c>
      <x:c r="F128" s="55" t="str">
        <x:v>✓</x:v>
      </x:c>
      <x:c r="G128" s="55" t="str">
        <x:v>—</x:v>
      </x:c>
    </x:row>
    <x:row r="129">
      <x:c r="A129" s="53" t="str">
        <x:v>P-260</x:v>
      </x:c>
      <x:c r="B129" s="55" t="str">
        <x:v>—</x:v>
      </x:c>
      <x:c r="C129" s="55" t="str">
        <x:v>Implicite</x:v>
      </x:c>
      <x:c r="D129" s="55" t="str">
        <x:v>Omis</x:v>
      </x:c>
      <x:c r="E129" s="55" t="str">
        <x:v>✓</x:v>
      </x:c>
      <x:c r="F129" s="55" t="str">
        <x:v>✓</x:v>
      </x:c>
      <x:c r="G129" s="55" t="str">
        <x:v>—</x:v>
      </x:c>
    </x:row>
    <x:row r="130">
      <x:c r="A130" s="53" t="str">
        <x:v>Event id=17</x:v>
      </x:c>
      <x:c r="B130" s="55" t="str">
        <x:v>—</x:v>
      </x:c>
      <x:c r="C130" s="55" t="str">
        <x:v>Implicite</x:v>
      </x:c>
      <x:c r="D130" s="55" t="str">
        <x:v>Omis</x:v>
      </x:c>
      <x:c r="E130" s="55" t="str">
        <x:v>✓</x:v>
      </x:c>
      <x:c r="F130" s="55" t="str">
        <x:v>—</x:v>
      </x:c>
      <x:c r="G130" s="55" t="str">
        <x:v>✓</x:v>
      </x:c>
    </x:row>
    <x:row r="131">
      <x:c r="A131" s="53" t="str">
        <x:v>Event id=25</x:v>
      </x:c>
      <x:c r="B131" s="55" t="str">
        <x:v>—</x:v>
      </x:c>
      <x:c r="C131" s="55" t="str">
        <x:v>Implicite</x:v>
      </x:c>
      <x:c r="D131" s="55" t="str">
        <x:v>Omis</x:v>
      </x:c>
      <x:c r="E131" s="55" t="str">
        <x:v>✓</x:v>
      </x:c>
      <x:c r="F131" s="55" t="str">
        <x:v>—</x:v>
      </x:c>
      <x:c r="G131" s="55" t="str">
        <x:v>✓</x:v>
      </x:c>
    </x:row>
    <x:row r="132">
      <x:c r="A132" s="53" t="str">
        <x:v>Event id=36</x:v>
      </x:c>
      <x:c r="B132" s="55" t="str">
        <x:v>—</x:v>
      </x:c>
      <x:c r="C132" s="55" t="str">
        <x:v>Implicite</x:v>
      </x:c>
      <x:c r="D132" s="55" t="str">
        <x:v>Omis</x:v>
      </x:c>
      <x:c r="E132" s="55" t="str">
        <x:v>✓</x:v>
      </x:c>
      <x:c r="F132" s="55" t="str">
        <x:v>—</x:v>
      </x:c>
      <x:c r="G132" s="55" t="str">
        <x:v>✓</x:v>
      </x:c>
    </x:row>
    <x:row r="133">
      <x:c r="A133" s="53" t="str">
        <x:v>Event id=37</x:v>
      </x:c>
      <x:c r="B133" s="55" t="str">
        <x:v>—</x:v>
      </x:c>
      <x:c r="C133" s="55" t="str">
        <x:v>Implicite</x:v>
      </x:c>
      <x:c r="D133" s="55" t="str">
        <x:v>Omis</x:v>
      </x:c>
      <x:c r="E133" s="55" t="str">
        <x:v>✓</x:v>
      </x:c>
      <x:c r="F133" s="55" t="str">
        <x:v>—</x:v>
      </x:c>
      <x:c r="G133" s="55" t="str">
        <x:v>✓</x:v>
      </x:c>
    </x:row>
    <x:row r="134">
      <x:c r="A134" s="53" t="str">
        <x:v>Event id=45</x:v>
      </x:c>
      <x:c r="B134" s="55" t="str">
        <x:v>—</x:v>
      </x:c>
      <x:c r="C134" s="55" t="str">
        <x:v>Implicite</x:v>
      </x:c>
      <x:c r="D134" s="55" t="str">
        <x:v>Omis</x:v>
      </x:c>
      <x:c r="E134" s="55" t="str">
        <x:v>✓</x:v>
      </x:c>
      <x:c r="F134" s="55" t="str">
        <x:v>—</x:v>
      </x:c>
      <x:c r="G134" s="55" t="str">
        <x:v>✓</x:v>
      </x:c>
    </x:row>
    <x:row r="135">
      <x:c r="A135" s="53" t="str">
        <x:v>Event id=49</x:v>
      </x:c>
      <x:c r="B135" s="55" t="str">
        <x:v>—</x:v>
      </x:c>
      <x:c r="C135" s="55" t="str">
        <x:v>Implicite</x:v>
      </x:c>
      <x:c r="D135" s="55" t="str">
        <x:v>Omis</x:v>
      </x:c>
      <x:c r="E135" s="55" t="str">
        <x:v>✓</x:v>
      </x:c>
      <x:c r="F135" s="55" t="str">
        <x:v>—</x:v>
      </x:c>
      <x:c r="G135" s="55" t="str">
        <x:v>✓</x:v>
      </x:c>
    </x:row>
    <x:row r="136">
      <x:c r="A136" s="53" t="str">
        <x:v>Event id=53</x:v>
      </x:c>
      <x:c r="B136" s="55" t="str">
        <x:v>—</x:v>
      </x:c>
      <x:c r="C136" s="55" t="str">
        <x:v>Implicite</x:v>
      </x:c>
      <x:c r="D136" s="55" t="str">
        <x:v>Omis</x:v>
      </x:c>
      <x:c r="E136" s="55" t="str">
        <x:v>✓</x:v>
      </x:c>
      <x:c r="F136" s="55" t="str">
        <x:v>—</x:v>
      </x:c>
      <x:c r="G136" s="55" t="str">
        <x:v>✓</x:v>
      </x:c>
    </x:row>
    <x:row r="137">
      <x:c r="A137" s="53" t="str">
        <x:v>Event id=54</x:v>
      </x:c>
      <x:c r="B137" s="55" t="str">
        <x:v>—</x:v>
      </x:c>
      <x:c r="C137" s="55" t="str">
        <x:v>Implicite</x:v>
      </x:c>
      <x:c r="D137" s="55" t="str">
        <x:v>Omis</x:v>
      </x:c>
      <x:c r="E137" s="55" t="str">
        <x:v>✓</x:v>
      </x:c>
      <x:c r="F137" s="55" t="str">
        <x:v>—</x:v>
      </x:c>
      <x:c r="G137" s="55" t="str">
        <x:v>✓</x:v>
      </x:c>
    </x:row>
    <x:row r="138">
      <x:c r="A138" s="53" t="str">
        <x:v>Event id=56</x:v>
      </x:c>
      <x:c r="B138" s="55" t="str">
        <x:v>—</x:v>
      </x:c>
      <x:c r="C138" s="55" t="str">
        <x:v>Implicite</x:v>
      </x:c>
      <x:c r="D138" s="55" t="str">
        <x:v>Omis</x:v>
      </x:c>
      <x:c r="E138" s="55" t="str">
        <x:v>✓</x:v>
      </x:c>
      <x:c r="F138" s="55" t="str">
        <x:v>—</x:v>
      </x:c>
      <x:c r="G138" s="55" t="str">
        <x:v>✓</x:v>
      </x:c>
    </x:row>
    <x:row r="139">
      <x:c r="A139" s="53" t="str">
        <x:v>Event id=61</x:v>
      </x:c>
      <x:c r="B139" s="55" t="str">
        <x:v>—</x:v>
      </x:c>
      <x:c r="C139" s="55" t="str">
        <x:v>Implicite</x:v>
      </x:c>
      <x:c r="D139" s="55" t="str">
        <x:v>Omis</x:v>
      </x:c>
      <x:c r="E139" s="55" t="str">
        <x:v>✓</x:v>
      </x:c>
      <x:c r="F139" s="55" t="str">
        <x:v>—</x:v>
      </x:c>
      <x:c r="G139" s="55" t="str">
        <x:v>✓</x:v>
      </x:c>
    </x:row>
    <x:row r="140">
      <x:c r="A140" s="53" t="str">
        <x:v>Event id=62</x:v>
      </x:c>
      <x:c r="B140" s="55" t="str">
        <x:v>—</x:v>
      </x:c>
      <x:c r="C140" s="55" t="str">
        <x:v>Implicite</x:v>
      </x:c>
      <x:c r="D140" s="55" t="str">
        <x:v>Omis</x:v>
      </x:c>
      <x:c r="E140" s="55" t="str">
        <x:v>✓</x:v>
      </x:c>
      <x:c r="F140" s="55" t="str">
        <x:v>—</x:v>
      </x:c>
      <x:c r="G140" s="55" t="str">
        <x:v>✓</x:v>
      </x:c>
    </x:row>
    <x:row r="141">
      <x:c r="A141" s="53" t="str">
        <x:v>Event id=63</x:v>
      </x:c>
      <x:c r="B141" s="55" t="str">
        <x:v>—</x:v>
      </x:c>
      <x:c r="C141" s="55" t="str">
        <x:v>Implicite</x:v>
      </x:c>
      <x:c r="D141" s="55" t="str">
        <x:v>Omis</x:v>
      </x:c>
      <x:c r="E141" s="55" t="str">
        <x:v>✓</x:v>
      </x:c>
      <x:c r="F141" s="55" t="str">
        <x:v>—</x:v>
      </x:c>
      <x:c r="G141" s="55" t="str">
        <x:v>✓</x:v>
      </x:c>
    </x:row>
    <x:row r="142">
      <x:c r="A142" s="53" t="str">
        <x:v>Event id=64</x:v>
      </x:c>
      <x:c r="B142" s="55" t="str">
        <x:v>—</x:v>
      </x:c>
      <x:c r="C142" s="55" t="str">
        <x:v>Implicite</x:v>
      </x:c>
      <x:c r="D142" s="55" t="str">
        <x:v>Omis</x:v>
      </x:c>
      <x:c r="E142" s="55" t="str">
        <x:v>✓</x:v>
      </x:c>
      <x:c r="F142" s="55" t="str">
        <x:v>—</x:v>
      </x:c>
      <x:c r="G142" s="55" t="str">
        <x:v>✓</x:v>
      </x:c>
    </x:row>
    <x:row r="143">
      <x:c r="A143" s="53" t="str">
        <x:v>Event id=70</x:v>
      </x:c>
      <x:c r="B143" s="55" t="str">
        <x:v>—</x:v>
      </x:c>
      <x:c r="C143" s="55" t="str">
        <x:v>Implicite</x:v>
      </x:c>
      <x:c r="D143" s="55" t="str">
        <x:v>Omis</x:v>
      </x:c>
      <x:c r="E143" s="55" t="str">
        <x:v>✓</x:v>
      </x:c>
      <x:c r="F143" s="55" t="str">
        <x:v>—</x:v>
      </x:c>
      <x:c r="G143" s="55" t="str">
        <x:v>✓</x:v>
      </x:c>
    </x:row>
    <x:row r="144">
      <x:c r="A144" s="53" t="str">
        <x:v>Event id=71</x:v>
      </x:c>
      <x:c r="B144" s="55" t="str">
        <x:v>—</x:v>
      </x:c>
      <x:c r="C144" s="55" t="str">
        <x:v>Implicite</x:v>
      </x:c>
      <x:c r="D144" s="55" t="str">
        <x:v>Omis</x:v>
      </x:c>
      <x:c r="E144" s="55" t="str">
        <x:v>✓</x:v>
      </x:c>
      <x:c r="F144" s="55" t="str">
        <x:v>—</x:v>
      </x:c>
      <x:c r="G144" s="55" t="str">
        <x:v>✓</x:v>
      </x:c>
    </x:row>
    <x:row r="145">
      <x:c r="A145" s="53" t="str">
        <x:v>Event id=72</x:v>
      </x:c>
      <x:c r="B145" s="55" t="str">
        <x:v>—</x:v>
      </x:c>
      <x:c r="C145" s="55" t="str">
        <x:v>Implicite</x:v>
      </x:c>
      <x:c r="D145" s="55" t="str">
        <x:v>Omis</x:v>
      </x:c>
      <x:c r="E145" s="55" t="str">
        <x:v>✓</x:v>
      </x:c>
      <x:c r="F145" s="55" t="str">
        <x:v>—</x:v>
      </x:c>
      <x:c r="G145" s="55" t="str">
        <x:v>✓</x:v>
      </x:c>
    </x:row>
    <x:row r="146">
      <x:c r="A146" s="53" t="str">
        <x:v>Event id=75</x:v>
      </x:c>
      <x:c r="B146" s="55" t="str">
        <x:v>—</x:v>
      </x:c>
      <x:c r="C146" s="55" t="str">
        <x:v>Implicite</x:v>
      </x:c>
      <x:c r="D146" s="55" t="str">
        <x:v>Omis</x:v>
      </x:c>
      <x:c r="E146" s="55" t="str">
        <x:v>✓</x:v>
      </x:c>
      <x:c r="F146" s="55" t="str">
        <x:v>—</x:v>
      </x:c>
      <x:c r="G146" s="55" t="str">
        <x:v>✓</x:v>
      </x:c>
    </x:row>
    <x:row r="147">
      <x:c r="A147" s="53" t="str">
        <x:v>Event id=76</x:v>
      </x:c>
      <x:c r="B147" s="55" t="str">
        <x:v>—</x:v>
      </x:c>
      <x:c r="C147" s="55" t="str">
        <x:v>Implicite</x:v>
      </x:c>
      <x:c r="D147" s="55" t="str">
        <x:v>Omis</x:v>
      </x:c>
      <x:c r="E147" s="55" t="str">
        <x:v>✓</x:v>
      </x:c>
      <x:c r="F147" s="55" t="str">
        <x:v>—</x:v>
      </x:c>
      <x:c r="G147" s="55" t="str">
        <x:v>✓</x:v>
      </x:c>
    </x:row>
    <x:row r="148">
      <x:c r="A148" s="53" t="str">
        <x:v>Event id=77</x:v>
      </x:c>
      <x:c r="B148" s="55" t="str">
        <x:v>—</x:v>
      </x:c>
      <x:c r="C148" s="55" t="str">
        <x:v>Implicite</x:v>
      </x:c>
      <x:c r="D148" s="55" t="str">
        <x:v>Omis</x:v>
      </x:c>
      <x:c r="E148" s="55" t="str">
        <x:v>✓</x:v>
      </x:c>
      <x:c r="F148" s="55" t="str">
        <x:v>—</x:v>
      </x:c>
      <x:c r="G148" s="55" t="str">
        <x:v>✓</x:v>
      </x:c>
    </x:row>
    <x:row r="149">
      <x:c r="A149" s="53" t="str">
        <x:v>Event id=79</x:v>
      </x:c>
      <x:c r="B149" s="55" t="str">
        <x:v>—</x:v>
      </x:c>
      <x:c r="C149" s="55" t="str">
        <x:v>Implicite</x:v>
      </x:c>
      <x:c r="D149" s="55" t="str">
        <x:v>Omis</x:v>
      </x:c>
      <x:c r="E149" s="55" t="str">
        <x:v>✓</x:v>
      </x:c>
      <x:c r="F149" s="55" t="str">
        <x:v>—</x:v>
      </x:c>
      <x:c r="G149" s="55" t="str">
        <x:v>✓</x:v>
      </x:c>
    </x:row>
    <x:row r="150">
      <x:c r="A150" s="53" t="str">
        <x:v>Event id=80</x:v>
      </x:c>
      <x:c r="B150" s="55" t="str">
        <x:v>—</x:v>
      </x:c>
      <x:c r="C150" s="55" t="str">
        <x:v>Implicite</x:v>
      </x:c>
      <x:c r="D150" s="55" t="str">
        <x:v>Omis</x:v>
      </x:c>
      <x:c r="E150" s="55" t="str">
        <x:v>✓</x:v>
      </x:c>
      <x:c r="F150" s="55" t="str">
        <x:v>—</x:v>
      </x:c>
      <x:c r="G150" s="55" t="str">
        <x:v>✓</x:v>
      </x:c>
    </x:row>
    <x:row r="151">
      <x:c r="A151" s="53" t="str">
        <x:v>Event id=82</x:v>
      </x:c>
      <x:c r="B151" s="55" t="str">
        <x:v>—</x:v>
      </x:c>
      <x:c r="C151" s="55" t="str">
        <x:v>Implicite</x:v>
      </x:c>
      <x:c r="D151" s="55" t="str">
        <x:v>Omis</x:v>
      </x:c>
      <x:c r="E151" s="55" t="str">
        <x:v>✓</x:v>
      </x:c>
      <x:c r="F151" s="55" t="str">
        <x:v>—</x:v>
      </x:c>
      <x:c r="G151" s="55" t="str">
        <x:v>✓</x:v>
      </x:c>
    </x:row>
    <x:row r="152">
      <x:c r="A152" s="53" t="str">
        <x:v>Event id=83</x:v>
      </x:c>
      <x:c r="B152" s="55" t="str">
        <x:v>—</x:v>
      </x:c>
      <x:c r="C152" s="55" t="str">
        <x:v>Implicite</x:v>
      </x:c>
      <x:c r="D152" s="55" t="str">
        <x:v>Omis</x:v>
      </x:c>
      <x:c r="E152" s="55" t="str">
        <x:v>✓</x:v>
      </x:c>
      <x:c r="F152" s="55" t="str">
        <x:v>—</x:v>
      </x:c>
      <x:c r="G152" s="55" t="str">
        <x:v>✓</x:v>
      </x:c>
    </x:row>
    <x:row r="153">
      <x:c r="A153" s="53" t="str">
        <x:v>Event id=84</x:v>
      </x:c>
      <x:c r="B153" s="55" t="str">
        <x:v>—</x:v>
      </x:c>
      <x:c r="C153" s="55" t="str">
        <x:v>Implicite</x:v>
      </x:c>
      <x:c r="D153" s="55" t="str">
        <x:v>Omis</x:v>
      </x:c>
      <x:c r="E153" s="55" t="str">
        <x:v>✓</x:v>
      </x:c>
      <x:c r="F153" s="55" t="str">
        <x:v>—</x:v>
      </x:c>
      <x:c r="G153" s="55" t="str">
        <x:v>✓</x:v>
      </x:c>
    </x:row>
    <x:row r="154">
      <x:c r="A154" s="53" t="str">
        <x:v>Event id=87</x:v>
      </x:c>
      <x:c r="B154" s="55" t="str">
        <x:v>—</x:v>
      </x:c>
      <x:c r="C154" s="55" t="str">
        <x:v>Implicite</x:v>
      </x:c>
      <x:c r="D154" s="55" t="str">
        <x:v>Omis</x:v>
      </x:c>
      <x:c r="E154" s="55" t="str">
        <x:v>✓</x:v>
      </x:c>
      <x:c r="F154" s="55" t="str">
        <x:v>—</x:v>
      </x:c>
      <x:c r="G154" s="55" t="str">
        <x:v>✓</x:v>
      </x:c>
    </x:row>
    <x:row r="155">
      <x:c r="A155" s="53" t="str">
        <x:v>Event id=88</x:v>
      </x:c>
      <x:c r="B155" s="55" t="str">
        <x:v>—</x:v>
      </x:c>
      <x:c r="C155" s="55" t="str">
        <x:v>Implicite</x:v>
      </x:c>
      <x:c r="D155" s="55" t="str">
        <x:v>Omis</x:v>
      </x:c>
      <x:c r="E155" s="55" t="str">
        <x:v>✓</x:v>
      </x:c>
      <x:c r="F155" s="55" t="str">
        <x:v>—</x:v>
      </x:c>
      <x:c r="G155" s="55" t="str">
        <x:v>✓</x:v>
      </x:c>
    </x:row>
    <x:row r="156">
      <x:c r="A156" s="53" t="str">
        <x:v>Event id=89</x:v>
      </x:c>
      <x:c r="B156" s="55" t="str">
        <x:v>—</x:v>
      </x:c>
      <x:c r="C156" s="55" t="str">
        <x:v>Implicite</x:v>
      </x:c>
      <x:c r="D156" s="55" t="str">
        <x:v>Omis</x:v>
      </x:c>
      <x:c r="E156" s="55" t="str">
        <x:v>✓</x:v>
      </x:c>
      <x:c r="F156" s="55" t="str">
        <x:v>—</x:v>
      </x:c>
      <x:c r="G156" s="55" t="str">
        <x:v>✓</x:v>
      </x:c>
    </x:row>
    <x:row r="157">
      <x:c r="A157" s="53" t="str">
        <x:v>Event id=91</x:v>
      </x:c>
      <x:c r="B157" s="55" t="str">
        <x:v>—</x:v>
      </x:c>
      <x:c r="C157" s="55" t="str">
        <x:v>Implicite</x:v>
      </x:c>
      <x:c r="D157" s="55" t="str">
        <x:v>Omis</x:v>
      </x:c>
      <x:c r="E157" s="55" t="str">
        <x:v>✓</x:v>
      </x:c>
      <x:c r="F157" s="55" t="str">
        <x:v>—</x:v>
      </x:c>
      <x:c r="G157" s="55" t="str">
        <x:v>✓</x:v>
      </x:c>
    </x:row>
    <x:row r="158">
      <x:c r="A158" s="53" t="str">
        <x:v>Event id=106</x:v>
      </x:c>
      <x:c r="B158" s="55" t="str">
        <x:v>—</x:v>
      </x:c>
      <x:c r="C158" s="55" t="str">
        <x:v>Implicite</x:v>
      </x:c>
      <x:c r="D158" s="55" t="str">
        <x:v>Omis</x:v>
      </x:c>
      <x:c r="E158" s="55" t="str">
        <x:v>✓</x:v>
      </x:c>
      <x:c r="F158" s="55" t="str">
        <x:v>—</x:v>
      </x:c>
      <x:c r="G158" s="55" t="str">
        <x:v>✓</x:v>
      </x:c>
    </x:row>
    <x:row r="159">
      <x:c r="A159" s="53" t="str">
        <x:v>Event id=107</x:v>
      </x:c>
      <x:c r="B159" s="55" t="str">
        <x:v>—</x:v>
      </x:c>
      <x:c r="C159" s="55" t="str">
        <x:v>Implicite</x:v>
      </x:c>
      <x:c r="D159" s="55" t="str">
        <x:v>Omis</x:v>
      </x:c>
      <x:c r="E159" s="55" t="str">
        <x:v>✓</x:v>
      </x:c>
      <x:c r="F159" s="55" t="str">
        <x:v>—</x:v>
      </x:c>
      <x:c r="G159" s="55" t="str">
        <x:v>✓</x:v>
      </x:c>
    </x:row>
    <x:row r="160">
      <x:c r="A160" s="53" t="str">
        <x:v>Event id=109</x:v>
      </x:c>
      <x:c r="B160" s="55" t="str">
        <x:v>—</x:v>
      </x:c>
      <x:c r="C160" s="55" t="str">
        <x:v>Implicite</x:v>
      </x:c>
      <x:c r="D160" s="55" t="str">
        <x:v>Omis</x:v>
      </x:c>
      <x:c r="E160" s="55" t="str">
        <x:v>✓</x:v>
      </x:c>
      <x:c r="F160" s="55" t="str">
        <x:v>—</x:v>
      </x:c>
      <x:c r="G160" s="55" t="str">
        <x:v>✓</x:v>
      </x:c>
    </x:row>
    <x:row r="161">
      <x:c r="A161" s="53" t="str">
        <x:v>Event id=135</x:v>
      </x:c>
      <x:c r="B161" s="55" t="str">
        <x:v>—</x:v>
      </x:c>
      <x:c r="C161" s="55" t="str">
        <x:v>Implicite</x:v>
      </x:c>
      <x:c r="D161" s="55" t="str">
        <x:v>Omis</x:v>
      </x:c>
      <x:c r="E161" s="55" t="str">
        <x:v>✓</x:v>
      </x:c>
      <x:c r="F161" s="55" t="str">
        <x:v>—</x:v>
      </x:c>
      <x:c r="G161" s="55" t="str">
        <x:v>✓</x:v>
      </x:c>
    </x:row>
    <x:row r="162">
      <x:c r="A162" s="53" t="str">
        <x:v>Event id=136</x:v>
      </x:c>
      <x:c r="B162" s="55" t="str">
        <x:v>—</x:v>
      </x:c>
      <x:c r="C162" s="55" t="str">
        <x:v>Implicite</x:v>
      </x:c>
      <x:c r="D162" s="55" t="str">
        <x:v>Omis</x:v>
      </x:c>
      <x:c r="E162" s="55" t="str">
        <x:v>✓</x:v>
      </x:c>
      <x:c r="F162" s="55" t="str">
        <x:v>—</x:v>
      </x:c>
      <x:c r="G162" s="55" t="str">
        <x:v>✓</x:v>
      </x:c>
    </x:row>
    <x:row r="163">
      <x:c r="A163" s="53" t="str">
        <x:v>Event id=140</x:v>
      </x:c>
      <x:c r="B163" s="55" t="str">
        <x:v>—</x:v>
      </x:c>
      <x:c r="C163" s="55" t="str">
        <x:v>Implicite</x:v>
      </x:c>
      <x:c r="D163" s="55" t="str">
        <x:v>Omis</x:v>
      </x:c>
      <x:c r="E163" s="55" t="str">
        <x:v>✓</x:v>
      </x:c>
      <x:c r="F163" s="55" t="str">
        <x:v>—</x:v>
      </x:c>
      <x:c r="G163" s="55" t="str">
        <x:v>✓</x:v>
      </x:c>
    </x:row>
    <x:row r="164">
      <x:c r="A164" s="53" t="str">
        <x:v>Event id=141</x:v>
      </x:c>
      <x:c r="B164" s="55" t="str">
        <x:v>—</x:v>
      </x:c>
      <x:c r="C164" s="55" t="str">
        <x:v>Implicite</x:v>
      </x:c>
      <x:c r="D164" s="55" t="str">
        <x:v>Omis</x:v>
      </x:c>
      <x:c r="E164" s="55" t="str">
        <x:v>✓</x:v>
      </x:c>
      <x:c r="F164" s="55" t="str">
        <x:v>—</x:v>
      </x:c>
      <x:c r="G164" s="55" t="str">
        <x:v>✓</x:v>
      </x:c>
    </x:row>
    <x:row r="165">
      <x:c r="A165" s="53" t="str">
        <x:v>Event id=150</x:v>
      </x:c>
      <x:c r="B165" s="55" t="str">
        <x:v>—</x:v>
      </x:c>
      <x:c r="C165" s="55" t="str">
        <x:v>Implicite</x:v>
      </x:c>
      <x:c r="D165" s="55" t="str">
        <x:v>Omis</x:v>
      </x:c>
      <x:c r="E165" s="55" t="str">
        <x:v>✓</x:v>
      </x:c>
      <x:c r="F165" s="55" t="str">
        <x:v>—</x:v>
      </x:c>
      <x:c r="G165" s="55" t="str">
        <x:v>✓</x:v>
      </x:c>
    </x:row>
    <x:row r="166">
      <x:c r="A166" s="53" t="str">
        <x:v>Event id=166</x:v>
      </x:c>
      <x:c r="B166" s="55" t="str">
        <x:v>—</x:v>
      </x:c>
      <x:c r="C166" s="55" t="str">
        <x:v>Implicite</x:v>
      </x:c>
      <x:c r="D166" s="55" t="str">
        <x:v>Omis</x:v>
      </x:c>
      <x:c r="E166" s="55" t="str">
        <x:v>✓</x:v>
      </x:c>
      <x:c r="F166" s="55" t="str">
        <x:v>—</x:v>
      </x:c>
      <x:c r="G166" s="55" t="str">
        <x:v>✓</x:v>
      </x:c>
    </x:row>
    <x:row r="167">
      <x:c r="A167" s="53" t="str">
        <x:v>Event id=171</x:v>
      </x:c>
      <x:c r="B167" s="55" t="str">
        <x:v>—</x:v>
      </x:c>
      <x:c r="C167" s="55" t="str">
        <x:v>Implicite</x:v>
      </x:c>
      <x:c r="D167" s="55" t="str">
        <x:v>Omis</x:v>
      </x:c>
      <x:c r="E167" s="55" t="str">
        <x:v>✓</x:v>
      </x:c>
      <x:c r="F167" s="55" t="str">
        <x:v>—</x:v>
      </x:c>
      <x:c r="G167" s="55" t="str">
        <x:v>✓</x:v>
      </x:c>
    </x:row>
    <x:row r="168">
      <x:c r="A168" s="53" t="str">
        <x:v>Event id=172</x:v>
      </x:c>
      <x:c r="B168" s="55" t="str">
        <x:v>—</x:v>
      </x:c>
      <x:c r="C168" s="55" t="str">
        <x:v>Implicite</x:v>
      </x:c>
      <x:c r="D168" s="55" t="str">
        <x:v>Omis</x:v>
      </x:c>
      <x:c r="E168" s="55" t="str">
        <x:v>✓</x:v>
      </x:c>
      <x:c r="F168" s="55" t="str">
        <x:v>—</x:v>
      </x:c>
      <x:c r="G168" s="55" t="str">
        <x:v>✓</x:v>
      </x:c>
    </x:row>
    <x:row r="169">
      <x:c r="A169" s="53" t="str">
        <x:v>Event id=178</x:v>
      </x:c>
      <x:c r="B169" s="55" t="str">
        <x:v>—</x:v>
      </x:c>
      <x:c r="C169" s="55" t="str">
        <x:v>Implicite</x:v>
      </x:c>
      <x:c r="D169" s="55" t="str">
        <x:v>Omis</x:v>
      </x:c>
      <x:c r="E169" s="55" t="str">
        <x:v>✓</x:v>
      </x:c>
      <x:c r="F169" s="55" t="str">
        <x:v>—</x:v>
      </x:c>
      <x:c r="G169" s="55" t="str">
        <x:v>✓</x:v>
      </x:c>
    </x:row>
    <x:row r="170">
      <x:c r="A170" s="53" t="str">
        <x:v>Event id=179</x:v>
      </x:c>
      <x:c r="B170" s="55" t="str">
        <x:v>—</x:v>
      </x:c>
      <x:c r="C170" s="55" t="str">
        <x:v>Implicite</x:v>
      </x:c>
      <x:c r="D170" s="55" t="str">
        <x:v>Omis</x:v>
      </x:c>
      <x:c r="E170" s="55" t="str">
        <x:v>✓</x:v>
      </x:c>
      <x:c r="F170" s="55" t="str">
        <x:v>—</x:v>
      </x:c>
      <x:c r="G170" s="55" t="str">
        <x:v>✓</x:v>
      </x:c>
    </x:row>
    <x:row r="171">
      <x:c r="A171" s="53" t="str">
        <x:v>Event id=180</x:v>
      </x:c>
      <x:c r="B171" s="55" t="str">
        <x:v>—</x:v>
      </x:c>
      <x:c r="C171" s="55" t="str">
        <x:v>Implicite</x:v>
      </x:c>
      <x:c r="D171" s="55" t="str">
        <x:v>Omis</x:v>
      </x:c>
      <x:c r="E171" s="55" t="str">
        <x:v>✓</x:v>
      </x:c>
      <x:c r="F171" s="55" t="str">
        <x:v>—</x:v>
      </x:c>
      <x:c r="G171" s="55" t="str">
        <x:v>✓</x:v>
      </x:c>
    </x:row>
    <x:row r="172">
      <x:c r="A172" s="53" t="str">
        <x:v>Event id=185</x:v>
      </x:c>
      <x:c r="B172" s="55" t="str">
        <x:v>—</x:v>
      </x:c>
      <x:c r="C172" s="55" t="str">
        <x:v>Implicite</x:v>
      </x:c>
      <x:c r="D172" s="55" t="str">
        <x:v>Omis</x:v>
      </x:c>
      <x:c r="E172" s="55" t="str">
        <x:v>✓</x:v>
      </x:c>
      <x:c r="F172" s="55" t="str">
        <x:v>—</x:v>
      </x:c>
      <x:c r="G172" s="55" t="str">
        <x:v>✓</x:v>
      </x:c>
    </x:row>
    <x:row r="173">
      <x:c r="A173" s="53" t="str">
        <x:v>Event id=188</x:v>
      </x:c>
      <x:c r="B173" s="55" t="str">
        <x:v>—</x:v>
      </x:c>
      <x:c r="C173" s="55" t="str">
        <x:v>Implicite</x:v>
      </x:c>
      <x:c r="D173" s="55" t="str">
        <x:v>Omis</x:v>
      </x:c>
      <x:c r="E173" s="55" t="str">
        <x:v>✓</x:v>
      </x:c>
      <x:c r="F173" s="55" t="str">
        <x:v>—</x:v>
      </x:c>
      <x:c r="G173" s="55" t="str">
        <x:v>✓</x:v>
      </x:c>
    </x:row>
    <x:row r="174">
      <x:c r="A174" s="53" t="str">
        <x:v>Event id=190</x:v>
      </x:c>
      <x:c r="B174" s="55" t="str">
        <x:v>—</x:v>
      </x:c>
      <x:c r="C174" s="55" t="str">
        <x:v>Implicite</x:v>
      </x:c>
      <x:c r="D174" s="55" t="str">
        <x:v>Omis</x:v>
      </x:c>
      <x:c r="E174" s="55" t="str">
        <x:v>✓</x:v>
      </x:c>
      <x:c r="F174" s="55" t="str">
        <x:v>—</x:v>
      </x:c>
      <x:c r="G174" s="55" t="str">
        <x:v>✓</x:v>
      </x:c>
    </x:row>
    <x:row r="175">
      <x:c r="A175" s="53" t="str">
        <x:v>Event id=216</x:v>
      </x:c>
      <x:c r="B175" s="55" t="str">
        <x:v>—</x:v>
      </x:c>
      <x:c r="C175" s="55" t="str">
        <x:v>Implicite</x:v>
      </x:c>
      <x:c r="D175" s="55" t="str">
        <x:v>Omis</x:v>
      </x:c>
      <x:c r="E175" s="55" t="str">
        <x:v>✓</x:v>
      </x:c>
      <x:c r="F175" s="55" t="str">
        <x:v>—</x:v>
      </x:c>
      <x:c r="G175" s="55" t="str">
        <x:v>✓</x:v>
      </x:c>
    </x:row>
    <x:row r="176">
      <x:c r="A176" s="53" t="str">
        <x:v>Event id=222</x:v>
      </x:c>
      <x:c r="B176" s="55" t="str">
        <x:v>—</x:v>
      </x:c>
      <x:c r="C176" s="55" t="str">
        <x:v>Implicite</x:v>
      </x:c>
      <x:c r="D176" s="55" t="str">
        <x:v>Omis</x:v>
      </x:c>
      <x:c r="E176" s="55" t="str">
        <x:v>✓</x:v>
      </x:c>
      <x:c r="F176" s="55" t="str">
        <x:v>—</x:v>
      </x:c>
      <x:c r="G176" s="55" t="str">
        <x:v>✓</x:v>
      </x:c>
    </x:row>
    <x:row r="177">
      <x:c r="A177" s="53" t="str">
        <x:v>Event id=234</x:v>
      </x:c>
      <x:c r="B177" s="55" t="str">
        <x:v>—</x:v>
      </x:c>
      <x:c r="C177" s="55" t="str">
        <x:v>Implicite</x:v>
      </x:c>
      <x:c r="D177" s="55" t="str">
        <x:v>Omis</x:v>
      </x:c>
      <x:c r="E177" s="55" t="str">
        <x:v>✓</x:v>
      </x:c>
      <x:c r="F177" s="55" t="str">
        <x:v>—</x:v>
      </x:c>
      <x:c r="G177" s="55" t="str">
        <x:v>✓</x:v>
      </x:c>
    </x:row>
    <x:row r="178">
      <x:c r="A178" s="53" t="str">
        <x:v>Event id=235</x:v>
      </x:c>
      <x:c r="B178" s="55" t="str">
        <x:v>—</x:v>
      </x:c>
      <x:c r="C178" s="55" t="str">
        <x:v>Implicite</x:v>
      </x:c>
      <x:c r="D178" s="55" t="str">
        <x:v>Omis</x:v>
      </x:c>
      <x:c r="E178" s="55" t="str">
        <x:v>✓</x:v>
      </x:c>
      <x:c r="F178" s="55" t="str">
        <x:v>—</x:v>
      </x:c>
      <x:c r="G178" s="55" t="str">
        <x:v>✓</x:v>
      </x:c>
    </x:row>
    <x:row r="179">
      <x:c r="A179" s="53" t="str">
        <x:v>Event id=237</x:v>
      </x:c>
      <x:c r="B179" s="55" t="str">
        <x:v>—</x:v>
      </x:c>
      <x:c r="C179" s="55" t="str">
        <x:v>Implicite</x:v>
      </x:c>
      <x:c r="D179" s="55" t="str">
        <x:v>Omis</x:v>
      </x:c>
      <x:c r="E179" s="55" t="str">
        <x:v>✓</x:v>
      </x:c>
      <x:c r="F179" s="55" t="str">
        <x:v>—</x:v>
      </x:c>
      <x:c r="G179" s="55" t="str">
        <x:v>✓</x:v>
      </x:c>
    </x:row>
    <x:row r="180">
      <x:c r="A180" s="53" t="str">
        <x:v>Event id=240</x:v>
      </x:c>
      <x:c r="B180" s="55" t="str">
        <x:v>—</x:v>
      </x:c>
      <x:c r="C180" s="55" t="str">
        <x:v>Implicite</x:v>
      </x:c>
      <x:c r="D180" s="55" t="str">
        <x:v>Omis</x:v>
      </x:c>
      <x:c r="E180" s="55" t="str">
        <x:v>✓</x:v>
      </x:c>
      <x:c r="F180" s="55" t="str">
        <x:v>—</x:v>
      </x:c>
      <x:c r="G180" s="55" t="str">
        <x:v>✓</x:v>
      </x:c>
    </x:row>
    <x:row r="181">
      <x:c r="A181" s="53" t="str">
        <x:v>Event id=244</x:v>
      </x:c>
      <x:c r="B181" s="55" t="str">
        <x:v>—</x:v>
      </x:c>
      <x:c r="C181" s="55" t="str">
        <x:v>Implicite</x:v>
      </x:c>
      <x:c r="D181" s="55" t="str">
        <x:v>Omis</x:v>
      </x:c>
      <x:c r="E181" s="55" t="str">
        <x:v>✓</x:v>
      </x:c>
      <x:c r="F181" s="55" t="str">
        <x:v>—</x:v>
      </x:c>
      <x:c r="G181" s="55" t="str">
        <x:v>✓</x:v>
      </x:c>
    </x:row>
    <x:row r="182">
      <x:c r="A182" s="53" t="str">
        <x:v>Event id=246</x:v>
      </x:c>
      <x:c r="B182" s="55" t="str">
        <x:v>—</x:v>
      </x:c>
      <x:c r="C182" s="55" t="str">
        <x:v>Implicite</x:v>
      </x:c>
      <x:c r="D182" s="55" t="str">
        <x:v>Omis</x:v>
      </x:c>
      <x:c r="E182" s="55" t="str">
        <x:v>✓</x:v>
      </x:c>
      <x:c r="F182" s="55" t="str">
        <x:v>—</x:v>
      </x:c>
      <x:c r="G182" s="55" t="str">
        <x:v>✓</x:v>
      </x:c>
    </x:row>
    <x:row r="183">
      <x:c r="A183" s="53" t="str">
        <x:v>Event id=249</x:v>
      </x:c>
      <x:c r="B183" s="55" t="str">
        <x:v>—</x:v>
      </x:c>
      <x:c r="C183" s="55" t="str">
        <x:v>Implicite</x:v>
      </x:c>
      <x:c r="D183" s="55" t="str">
        <x:v>Omis</x:v>
      </x:c>
      <x:c r="E183" s="55" t="str">
        <x:v>✓</x:v>
      </x:c>
      <x:c r="F183" s="55" t="str">
        <x:v>—</x:v>
      </x:c>
      <x:c r="G183" s="55" t="str">
        <x:v>✓</x:v>
      </x:c>
    </x:row>
    <x:row r="184">
      <x:c r="A184" s="53" t="str">
        <x:v>Event id=254</x:v>
      </x:c>
      <x:c r="B184" s="55" t="str">
        <x:v>—</x:v>
      </x:c>
      <x:c r="C184" s="55" t="str">
        <x:v>Implicite</x:v>
      </x:c>
      <x:c r="D184" s="55" t="str">
        <x:v>Omis</x:v>
      </x:c>
      <x:c r="E184" s="55" t="str">
        <x:v>✓</x:v>
      </x:c>
      <x:c r="F184" s="55" t="str">
        <x:v>—</x:v>
      </x:c>
      <x:c r="G184" s="55" t="str">
        <x:v>✓</x:v>
      </x:c>
    </x:row>
    <x:row r="185">
      <x:c r="A185" s="53" t="str">
        <x:v>Event id=255</x:v>
      </x:c>
      <x:c r="B185" s="55" t="str">
        <x:v>—</x:v>
      </x:c>
      <x:c r="C185" s="55" t="str">
        <x:v>Implicite</x:v>
      </x:c>
      <x:c r="D185" s="55" t="str">
        <x:v>Omis</x:v>
      </x:c>
      <x:c r="E185" s="55" t="str">
        <x:v>✓</x:v>
      </x:c>
      <x:c r="F185" s="55" t="str">
        <x:v>—</x:v>
      </x:c>
      <x:c r="G185" s="55" t="str">
        <x:v>✓</x:v>
      </x:c>
    </x:row>
    <x:row r="186">
      <x:c r="A186" s="53" t="str">
        <x:v>Event id=259</x:v>
      </x:c>
      <x:c r="B186" s="55" t="str">
        <x:v>—</x:v>
      </x:c>
      <x:c r="C186" s="55" t="str">
        <x:v>Implicite</x:v>
      </x:c>
      <x:c r="D186" s="55" t="str">
        <x:v>Omis</x:v>
      </x:c>
      <x:c r="E186" s="55" t="str">
        <x:v>✓</x:v>
      </x:c>
      <x:c r="F186" s="55" t="str">
        <x:v>—</x:v>
      </x:c>
      <x:c r="G186" s="55" t="str">
        <x:v>✓</x:v>
      </x:c>
    </x:row>
    <x:row r="187">
      <x:c r="A187" s="53" t="str">
        <x:v>Event id=261</x:v>
      </x:c>
      <x:c r="B187" s="55" t="str">
        <x:v>—</x:v>
      </x:c>
      <x:c r="C187" s="55" t="str">
        <x:v>Implicite</x:v>
      </x:c>
      <x:c r="D187" s="55" t="str">
        <x:v>Omis</x:v>
      </x:c>
      <x:c r="E187" s="55" t="str">
        <x:v>✓</x:v>
      </x:c>
      <x:c r="F187" s="55" t="str">
        <x:v>—</x:v>
      </x:c>
      <x:c r="G187" s="55" t="str">
        <x:v>✓</x:v>
      </x:c>
    </x:row>
    <x:row r="188">
      <x:c r="A188" s="53" t="str">
        <x:v>Event id=266</x:v>
      </x:c>
      <x:c r="B188" s="55" t="str">
        <x:v>—</x:v>
      </x:c>
      <x:c r="C188" s="55" t="str">
        <x:v>Implicite</x:v>
      </x:c>
      <x:c r="D188" s="55" t="str">
        <x:v>Omis</x:v>
      </x:c>
      <x:c r="E188" s="55" t="str">
        <x:v>✓</x:v>
      </x:c>
      <x:c r="F188" s="55" t="str">
        <x:v>—</x:v>
      </x:c>
      <x:c r="G188" s="55" t="str">
        <x:v>✓</x:v>
      </x:c>
    </x:row>
    <x:row r="189">
      <x:c r="A189" s="53" t="str">
        <x:v>Event id=268</x:v>
      </x:c>
      <x:c r="B189" s="55" t="str">
        <x:v>—</x:v>
      </x:c>
      <x:c r="C189" s="55" t="str">
        <x:v>Implicite</x:v>
      </x:c>
      <x:c r="D189" s="55" t="str">
        <x:v>Omis</x:v>
      </x:c>
      <x:c r="E189" s="55" t="str">
        <x:v>✓</x:v>
      </x:c>
      <x:c r="F189" s="55" t="str">
        <x:v>—</x:v>
      </x:c>
      <x:c r="G189" s="55" t="str">
        <x:v>✓</x:v>
      </x:c>
    </x:row>
    <x:row r="190">
      <x:c r="A190" s="53" t="str">
        <x:v>Event id=284</x:v>
      </x:c>
      <x:c r="B190" s="55" t="str">
        <x:v>—</x:v>
      </x:c>
      <x:c r="C190" s="55" t="str">
        <x:v>Implicite</x:v>
      </x:c>
      <x:c r="D190" s="55" t="str">
        <x:v>Omis</x:v>
      </x:c>
      <x:c r="E190" s="55" t="str">
        <x:v>✓</x:v>
      </x:c>
      <x:c r="F190" s="55" t="str">
        <x:v>—</x:v>
      </x:c>
      <x:c r="G190" s="55" t="str">
        <x:v>✓</x:v>
      </x:c>
    </x:row>
    <x:row r="191">
      <x:c r="A191" s="53" t="str">
        <x:v>Event id=288</x:v>
      </x:c>
      <x:c r="B191" s="55" t="str">
        <x:v>—</x:v>
      </x:c>
      <x:c r="C191" s="55" t="str">
        <x:v>Implicite</x:v>
      </x:c>
      <x:c r="D191" s="55" t="str">
        <x:v>Omis</x:v>
      </x:c>
      <x:c r="E191" s="55" t="str">
        <x:v>✓</x:v>
      </x:c>
      <x:c r="F191" s="55" t="str">
        <x:v>—</x:v>
      </x:c>
      <x:c r="G191" s="55" t="str">
        <x:v>✓</x:v>
      </x:c>
    </x:row>
    <x:row r="192">
      <x:c r="A192" s="53" t="str">
        <x:v>Event id=291</x:v>
      </x:c>
      <x:c r="B192" s="55" t="str">
        <x:v>—</x:v>
      </x:c>
      <x:c r="C192" s="55" t="str">
        <x:v>Implicite</x:v>
      </x:c>
      <x:c r="D192" s="55" t="str">
        <x:v>Omis</x:v>
      </x:c>
      <x:c r="E192" s="55" t="str">
        <x:v>✓</x:v>
      </x:c>
      <x:c r="F192" s="55" t="str">
        <x:v>—</x:v>
      </x:c>
      <x:c r="G192" s="55" t="str">
        <x:v>✓</x:v>
      </x:c>
    </x:row>
    <x:row r="193">
      <x:c r="A193" s="53" t="str">
        <x:v>Event id=304</x:v>
      </x:c>
      <x:c r="B193" s="55" t="str">
        <x:v>—</x:v>
      </x:c>
      <x:c r="C193" s="55" t="str">
        <x:v>Implicite</x:v>
      </x:c>
      <x:c r="D193" s="55" t="str">
        <x:v>Omis</x:v>
      </x:c>
      <x:c r="E193" s="55" t="str">
        <x:v>✓</x:v>
      </x:c>
      <x:c r="F193" s="55" t="str">
        <x:v>—</x:v>
      </x:c>
      <x:c r="G193" s="55" t="str">
        <x:v>✓</x:v>
      </x:c>
    </x:row>
    <x:row r="194">
      <x:c r="A194" s="53" t="str">
        <x:v>Event id=305</x:v>
      </x:c>
      <x:c r="B194" s="55" t="str">
        <x:v>—</x:v>
      </x:c>
      <x:c r="C194" s="55" t="str">
        <x:v>Implicite</x:v>
      </x:c>
      <x:c r="D194" s="55" t="str">
        <x:v>Omis</x:v>
      </x:c>
      <x:c r="E194" s="55" t="str">
        <x:v>✓</x:v>
      </x:c>
      <x:c r="F194" s="55" t="str">
        <x:v>—</x:v>
      </x:c>
      <x:c r="G194" s="55" t="str">
        <x:v>✓</x:v>
      </x:c>
    </x:row>
    <x:row r="195">
      <x:c r="A195" s="53" t="str">
        <x:v>Event id=316</x:v>
      </x:c>
      <x:c r="B195" s="55" t="str">
        <x:v>—</x:v>
      </x:c>
      <x:c r="C195" s="55" t="str">
        <x:v>Implicite</x:v>
      </x:c>
      <x:c r="D195" s="55" t="str">
        <x:v>Omis</x:v>
      </x:c>
      <x:c r="E195" s="55" t="str">
        <x:v>✓</x:v>
      </x:c>
      <x:c r="F195" s="55" t="str">
        <x:v>—</x:v>
      </x:c>
      <x:c r="G195" s="55" t="str">
        <x:v>✓</x:v>
      </x:c>
    </x:row>
    <x:row r="196">
      <x:c r="A196" s="53" t="str">
        <x:v>Event id=317</x:v>
      </x:c>
      <x:c r="B196" s="55" t="str">
        <x:v>—</x:v>
      </x:c>
      <x:c r="C196" s="55" t="str">
        <x:v>Implicite</x:v>
      </x:c>
      <x:c r="D196" s="55" t="str">
        <x:v>Omis</x:v>
      </x:c>
      <x:c r="E196" s="55" t="str">
        <x:v>✓</x:v>
      </x:c>
      <x:c r="F196" s="55" t="str">
        <x:v>—</x:v>
      </x:c>
      <x:c r="G196" s="55" t="str">
        <x:v>✓</x:v>
      </x:c>
    </x:row>
    <x:row r="197">
      <x:c r="A197" s="53" t="str">
        <x:v>Event id=318</x:v>
      </x:c>
      <x:c r="B197" s="55" t="str">
        <x:v>—</x:v>
      </x:c>
      <x:c r="C197" s="55" t="str">
        <x:v>Implicite</x:v>
      </x:c>
      <x:c r="D197" s="55" t="str">
        <x:v>Omis</x:v>
      </x:c>
      <x:c r="E197" s="55" t="str">
        <x:v>✓</x:v>
      </x:c>
      <x:c r="F197" s="55" t="str">
        <x:v>—</x:v>
      </x:c>
      <x:c r="G197" s="55" t="str">
        <x:v>✓</x:v>
      </x:c>
    </x:row>
    <x:row r="198">
      <x:c r="A198" s="53" t="str">
        <x:v>Event id=319</x:v>
      </x:c>
      <x:c r="B198" s="55" t="str">
        <x:v>—</x:v>
      </x:c>
      <x:c r="C198" s="55" t="str">
        <x:v>Implicite</x:v>
      </x:c>
      <x:c r="D198" s="55" t="str">
        <x:v>Omis</x:v>
      </x:c>
      <x:c r="E198" s="55" t="str">
        <x:v>✓</x:v>
      </x:c>
      <x:c r="F198" s="55" t="str">
        <x:v>—</x:v>
      </x:c>
      <x:c r="G198" s="55" t="str">
        <x:v>✓</x:v>
      </x:c>
    </x:row>
    <x:row r="199">
      <x:c r="A199" s="53" t="str">
        <x:v>Event id=320</x:v>
      </x:c>
      <x:c r="B199" s="55" t="str">
        <x:v>—</x:v>
      </x:c>
      <x:c r="C199" s="55" t="str">
        <x:v>Implicite</x:v>
      </x:c>
      <x:c r="D199" s="55" t="str">
        <x:v>Omis</x:v>
      </x:c>
      <x:c r="E199" s="55" t="str">
        <x:v>✓</x:v>
      </x:c>
      <x:c r="F199" s="55" t="str">
        <x:v>—</x:v>
      </x:c>
      <x:c r="G199" s="55" t="str">
        <x:v>✓</x:v>
      </x:c>
    </x:row>
    <x:row r="200">
      <x:c r="A200" s="53" t="str">
        <x:v>Event id=321</x:v>
      </x:c>
      <x:c r="B200" s="55" t="str">
        <x:v>—</x:v>
      </x:c>
      <x:c r="C200" s="55" t="str">
        <x:v>Implicite</x:v>
      </x:c>
      <x:c r="D200" s="55" t="str">
        <x:v>Omis</x:v>
      </x:c>
      <x:c r="E200" s="55" t="str">
        <x:v>✓</x:v>
      </x:c>
      <x:c r="F200" s="55" t="str">
        <x:v>—</x:v>
      </x:c>
      <x:c r="G200" s="55" t="str">
        <x:v>✓</x:v>
      </x:c>
    </x:row>
    <x:row r="201">
      <x:c r="A201" s="53" t="str">
        <x:v>Event id=322</x:v>
      </x:c>
      <x:c r="B201" s="55" t="str">
        <x:v>—</x:v>
      </x:c>
      <x:c r="C201" s="55" t="str">
        <x:v>Implicite</x:v>
      </x:c>
      <x:c r="D201" s="55" t="str">
        <x:v>Omis</x:v>
      </x:c>
      <x:c r="E201" s="55" t="str">
        <x:v>✓</x:v>
      </x:c>
      <x:c r="F201" s="55" t="str">
        <x:v>—</x:v>
      </x:c>
      <x:c r="G201" s="55" t="str">
        <x:v>✓</x:v>
      </x:c>
    </x:row>
    <x:row r="202">
      <x:c r="A202" s="53" t="str">
        <x:v>Event id=323</x:v>
      </x:c>
      <x:c r="B202" s="55" t="str">
        <x:v>—</x:v>
      </x:c>
      <x:c r="C202" s="55" t="str">
        <x:v>Implicite</x:v>
      </x:c>
      <x:c r="D202" s="55" t="str">
        <x:v>Omis</x:v>
      </x:c>
      <x:c r="E202" s="55" t="str">
        <x:v>✓</x:v>
      </x:c>
      <x:c r="F202" s="55" t="str">
        <x:v>—</x:v>
      </x:c>
      <x:c r="G202" s="55" t="str">
        <x:v>✓</x:v>
      </x:c>
    </x:row>
    <x:row r="203">
      <x:c r="A203" s="53" t="str">
        <x:v>Event id=324</x:v>
      </x:c>
      <x:c r="B203" s="55" t="str">
        <x:v>—</x:v>
      </x:c>
      <x:c r="C203" s="55" t="str">
        <x:v>Implicite</x:v>
      </x:c>
      <x:c r="D203" s="55" t="str">
        <x:v>Omis</x:v>
      </x:c>
      <x:c r="E203" s="55" t="str">
        <x:v>✓</x:v>
      </x:c>
      <x:c r="F203" s="55" t="str">
        <x:v>—</x:v>
      </x:c>
      <x:c r="G203" s="55" t="str">
        <x:v>✓</x:v>
      </x:c>
    </x:row>
    <x:row r="204">
      <x:c r="A204" s="53" t="str">
        <x:v>Event id=325</x:v>
      </x:c>
      <x:c r="B204" s="55" t="str">
        <x:v>—</x:v>
      </x:c>
      <x:c r="C204" s="55" t="str">
        <x:v>Implicite</x:v>
      </x:c>
      <x:c r="D204" s="55" t="str">
        <x:v>Omis</x:v>
      </x:c>
      <x:c r="E204" s="55" t="str">
        <x:v>✓</x:v>
      </x:c>
      <x:c r="F204" s="55" t="str">
        <x:v>—</x:v>
      </x:c>
      <x:c r="G204" s="55" t="str">
        <x:v>✓</x:v>
      </x:c>
    </x:row>
    <x:row r="205">
      <x:c r="A205" s="53" t="str">
        <x:v>Event id=326</x:v>
      </x:c>
      <x:c r="B205" s="55" t="str">
        <x:v>—</x:v>
      </x:c>
      <x:c r="C205" s="55" t="str">
        <x:v>Implicite</x:v>
      </x:c>
      <x:c r="D205" s="55" t="str">
        <x:v>Omis</x:v>
      </x:c>
      <x:c r="E205" s="55" t="str">
        <x:v>✓</x:v>
      </x:c>
      <x:c r="F205" s="55" t="str">
        <x:v>—</x:v>
      </x:c>
      <x:c r="G205" s="55" t="str">
        <x:v>✓</x:v>
      </x:c>
    </x:row>
    <x:row r="206">
      <x:c r="A206" s="53" t="str">
        <x:v>Event id=327</x:v>
      </x:c>
      <x:c r="B206" s="55" t="str">
        <x:v>—</x:v>
      </x:c>
      <x:c r="C206" s="55" t="str">
        <x:v>Implicite</x:v>
      </x:c>
      <x:c r="D206" s="55" t="str">
        <x:v>Omis</x:v>
      </x:c>
      <x:c r="E206" s="55" t="str">
        <x:v>✓</x:v>
      </x:c>
      <x:c r="F206" s="55" t="str">
        <x:v>—</x:v>
      </x:c>
      <x:c r="G206" s="55" t="str">
        <x:v>✓</x:v>
      </x:c>
    </x:row>
    <x:row r="207">
      <x:c r="A207" s="53" t="str">
        <x:v>Email id=590</x:v>
      </x:c>
      <x:c r="B207" s="55" t="str">
        <x:v>—</x:v>
      </x:c>
      <x:c r="C207" s="55" t="str">
        <x:v>Implicite</x:v>
      </x:c>
      <x:c r="D207" s="55" t="str">
        <x:v>Omis</x:v>
      </x:c>
      <x:c r="E207" s="55" t="str">
        <x:v>✓</x:v>
      </x:c>
      <x:c r="F207" s="55" t="str">
        <x:v>—</x:v>
      </x:c>
      <x:c r="G207" s="55" t="str">
        <x:v>✓</x:v>
      </x:c>
    </x:row>
    <x:row r="208">
      <x:c r="A208" s="53" t="str">
        <x:v>Email id=603</x:v>
      </x:c>
      <x:c r="B208" s="55" t="str">
        <x:v>—</x:v>
      </x:c>
      <x:c r="C208" s="55" t="str">
        <x:v>Implicite</x:v>
      </x:c>
      <x:c r="D208" s="55" t="str">
        <x:v>Omis</x:v>
      </x:c>
      <x:c r="E208" s="55" t="str">
        <x:v>✓</x:v>
      </x:c>
      <x:c r="F208" s="55" t="str">
        <x:v>—</x:v>
      </x:c>
      <x:c r="G208" s="55" t="str">
        <x:v>✓</x:v>
      </x:c>
    </x:row>
    <x:row r="209">
      <x:c r="A209" s="53" t="str">
        <x:v>Email id=91</x:v>
      </x:c>
      <x:c r="B209" s="55" t="str">
        <x:v>—</x:v>
      </x:c>
      <x:c r="C209" s="55" t="str">
        <x:v>Implicite</x:v>
      </x:c>
      <x:c r="D209" s="55" t="str">
        <x:v>Omis</x:v>
      </x:c>
      <x:c r="E209" s="55" t="str">
        <x:v>✓</x:v>
      </x:c>
      <x:c r="F209" s="55" t="str">
        <x:v>—</x:v>
      </x:c>
      <x:c r="G209" s="55" t="str">
        <x:v>✓</x:v>
      </x:c>
    </x:row>
    <x:row r="210">
      <x:c r="A210" s="53" t="str">
        <x:v>piece_tableau_recap_evenements.md</x:v>
      </x:c>
      <x:c r="B210" s="55" t="str">
        <x:v>—</x:v>
      </x:c>
      <x:c r="C210" s="55" t="str">
        <x:v>Implicite</x:v>
      </x:c>
      <x:c r="D210" s="55" t="str">
        <x:v>Omis</x:v>
      </x:c>
      <x:c r="E210" s="55" t="str">
        <x:v>✓</x:v>
      </x:c>
      <x:c r="F210" s="55" t="str">
        <x:v>—</x:v>
      </x:c>
      <x:c r="G210" s="55" t="str">
        <x:v>✓</x:v>
      </x:c>
    </x:row>
  </x:sheetData>
  <x:mergeCells>
    <x:mergeCell ref="A1:G1"/>
    <x:mergeCell ref="A2:G2"/>
  </x:mergeCells>
  <x:conditionalFormatting sqref="B5:G210">
    <x:cfRule type="expression" dxfId="3" priority="1">
      <x:formula>B5="✓"</x:formula>
    </x:cfRule>
    <x:cfRule type="expression" dxfId="4" priority="2">
      <x:formula>B5="Omis"</x:formula>
    </x:cfRule>
    <x:cfRule type="expression" dxfId="5" priority="3">
      <x:formula>B5="Implicite"</x:formula>
    </x:cfRule>
    <x:cfRule type="expression" dxfId="6" priority="4">
      <x:formula>B5="—"</x:formula>
    </x:cfRule>
  </x:conditionalFormatting>
  <x:pageMargins left="0.7" right="0.7" top="0.75" bottom="0.75" header="0.3" footer="0.3"/>
  <x:tableParts count="1">
    <x:tablePart xmlns:r="http://schemas.openxmlformats.org/officeDocument/2006/relationships" r:id="Rfe2dba7c9d244616"/>
  </x:tableParts>
</x:worksheet>
</file>

<file path=xl/worksheets/sheet4.xml><?xml version="1.0" encoding="utf-8"?>
<x:worksheet xmlns:x="http://schemas.openxmlformats.org/spreadsheetml/2006/main">
  <x:sheetFormatPr defaultRowHeight="15"/>
  <x:cols>
    <x:col min="1" max="1" width="18" hidden="0" customWidth="1"/>
    <x:col min="2" max="2" width="48" hidden="0" customWidth="1"/>
    <x:col min="3" max="3" width="58" hidden="0" customWidth="1"/>
    <x:col min="4" max="4" width="26" hidden="0" customWidth="1"/>
    <x:col min="5" max="5" width="52" hidden="0" customWidth="1"/>
  </x:cols>
  <x:sheetData>
    <x:row r="1" ht="28" customHeight="1">
      <x:c r="A1" s="5" t="str">
        <x:v>Rattachement aux paragraphes procéduraux</x:v>
      </x:c>
      <x:c r="B1" s="5"/>
      <x:c r="C1" s="5"/>
      <x:c r="D1" s="5"/>
      <x:c r="E1" s="5"/>
    </x:row>
    <x:row r="2" ht="34" customHeight="1">
      <x:c r="A2" s="13" t="str">
        <x:v>Le type de soutien distingue le direct, le cumulatif, le comparatif, la corroboration et l’inférence.</x:v>
      </x:c>
      <x:c r="B2" s="13"/>
      <x:c r="C2" s="13"/>
      <x:c r="D2" s="13"/>
      <x:c r="E2" s="13"/>
    </x:row>
    <x:row r="4" ht="34" customHeight="1">
      <x:c r="A4" s="48" t="str">
        <x:v>Paragraphe procédural</x:v>
      </x:c>
      <x:c r="B4" s="48" t="str">
        <x:v>Proposition factuelle</x:v>
      </x:c>
      <x:c r="C4" s="48" t="str">
        <x:v>Référence ou références internes</x:v>
      </x:c>
      <x:c r="D4" s="48" t="str">
        <x:v>Type de soutien</x:v>
      </x:c>
      <x:c r="E4" s="48" t="str">
        <x:v>Observation</x:v>
      </x:c>
    </x:row>
    <x:row r="5">
      <x:c r="A5" s="55" t="str">
        <x:v>1</x:v>
      </x:c>
      <x:c r="B5" s="53" t="str">
        <x:v>La Requête contient les §§14-17 contestés.</x:v>
      </x:c>
      <x:c r="C5" s="53" t="str">
        <x:v>piece_document-1.md</x:v>
      </x:c>
      <x:c r="D5" s="53" t="str">
        <x:v>soutien direct</x:v>
      </x:c>
      <x:c r="E5" s="53" t="str">
        <x:v>Ancrage procédural.</x:v>
      </x:c>
    </x:row>
    <x:row r="6">
      <x:c r="A6" s="55" t="str">
        <x:v>2</x:v>
      </x:c>
      <x:c r="B6" s="53" t="str">
        <x:v>Le père souhaitait une garde partagée et la mère s’y est opposée.</x:v>
      </x:c>
      <x:c r="C6" s="53" t="str">
        <x:v>piece_document-1.md; piece_pdf-2.md; piece_pdf-3.md</x:v>
      </x:c>
      <x:c r="D6" s="53" t="str">
        <x:v>soutien cumulatif</x:v>
      </x:c>
      <x:c r="E6" s="53" t="str">
        <x:v>La volonté et le refus sont concédés; le motif demeure contesté.</x:v>
      </x:c>
    </x:row>
    <x:row r="7">
      <x:c r="A7" s="55" t="str">
        <x:v>3</x:v>
      </x:c>
      <x:c r="B7" s="53" t="str">
        <x:v>Offre formelle 2-2-3 du 20 avril 2015.</x:v>
      </x:c>
      <x:c r="C7" s="53" t="str">
        <x:v>piece_pdf-2.md</x:v>
      </x:c>
      <x:c r="D7" s="53" t="str">
        <x:v>soutien direct</x:v>
      </x:c>
      <x:c r="E7" s="53" t="str"/>
    </x:row>
    <x:row r="8">
      <x:c r="A8" s="55" t="str">
        <x:v>4</x:v>
      </x:c>
      <x:c r="B8" s="53" t="str">
        <x:v>Refus du 27 avril fondé sur la routine plutôt que sur une indisponibilité historique.</x:v>
      </x:c>
      <x:c r="C8" s="53" t="str">
        <x:v>piece_pdf-3.md; piece_document-1.md</x:v>
      </x:c>
      <x:c r="D8" s="53" t="str">
        <x:v>soutien comparatif</x:v>
      </x:c>
      <x:c r="E8" s="53" t="str">
        <x:v>L’absence d’un motif dans la lettre est un constat négatif.</x:v>
      </x:c>
    </x:row>
    <x:row r="9">
      <x:c r="A9" s="55" t="str">
        <x:v>5</x:v>
      </x:c>
      <x:c r="B9" s="53" t="str">
        <x:v>La lettre du 27 avril offrait des nuitées non supervisées.</x:v>
      </x:c>
      <x:c r="C9" s="53" t="str">
        <x:v>piece_pdf-3.md</x:v>
      </x:c>
      <x:c r="D9" s="53" t="str">
        <x:v>soutien direct</x:v>
      </x:c>
      <x:c r="E9" s="53" t="str"/>
    </x:row>
    <x:row r="10">
      <x:c r="A10" s="55" t="str">
        <x:v>6</x:v>
      </x:c>
      <x:c r="B10" s="53" t="str">
        <x:v>Projet progressif en quatre phases du 13 août 2015.</x:v>
      </x:c>
      <x:c r="C10" s="53" t="str">
        <x:v>piece_pdf-5.md; P-355</x:v>
      </x:c>
      <x:c r="D10" s="53" t="str">
        <x:v>soutien direct</x:v>
      </x:c>
      <x:c r="E10" s="53" t="str">
        <x:v>P-355 est conservée séparément comme alias non confirmé.</x:v>
      </x:c>
    </x:row>
    <x:row r="11">
      <x:c r="A11" s="55" t="str">
        <x:v>7</x:v>
      </x:c>
      <x:c r="B11" s="53" t="str">
        <x:v>Acceptation d’une progression et demande du 2-2-3 au 7 février 2016.</x:v>
      </x:c>
      <x:c r="C11" s="53" t="str">
        <x:v>piece_pdf-6.md; P-356</x:v>
      </x:c>
      <x:c r="D11" s="53" t="str">
        <x:v>soutien direct</x:v>
      </x:c>
      <x:c r="E11" s="53" t="str">
        <x:v>P-356 est conservée séparément comme alias non confirmé.</x:v>
      </x:c>
    </x:row>
    <x:row r="12">
      <x:c r="A12" s="55" t="str">
        <x:v>8</x:v>
      </x:c>
      <x:c r="B12" s="53" t="str">
        <x:v>Choix des jours laissé à la mère pour tenir compte de la danse.</x:v>
      </x:c>
      <x:c r="C12" s="53" t="str">
        <x:v>piece_pdf-6.md; P-356</x:v>
      </x:c>
      <x:c r="D12" s="53" t="str">
        <x:v>soutien direct</x:v>
      </x:c>
      <x:c r="E12" s="53" t="str"/>
    </x:row>
    <x:row r="13">
      <x:c r="A13" s="55" t="str">
        <x:v>9</x:v>
      </x:c>
      <x:c r="B13" s="53" t="str">
        <x:v>Dernière position formelle identifiée avant la Requête.</x:v>
      </x:c>
      <x:c r="C13" s="53" t="str">
        <x:v>piece_pdf-5.md; piece_pdf-6.md; piece_document-1.md</x:v>
      </x:c>
      <x:c r="D13" s="53" t="str">
        <x:v>inférence tirée de plusieurs pièces</x:v>
      </x:c>
      <x:c r="E13" s="53" t="str">
        <x:v>Dire « dernière position identifiée dans le corpus examiné », sauf vérification exhaustive de la chronologie.</x:v>
      </x:c>
    </x:row>
    <x:row r="14">
      <x:c r="A14" s="55" t="str">
        <x:v>10</x:v>
      </x:c>
      <x:c r="B14" s="53" t="str">
        <x:v>La Requête omet le projet du 13 août et la réponse du 2 septembre.</x:v>
      </x:c>
      <x:c r="C14" s="53" t="str">
        <x:v>piece_document-1.md; piece_pdf-5.md; piece_pdf-6.md</x:v>
      </x:c>
      <x:c r="D14" s="53" t="str">
        <x:v>soutien comparatif</x:v>
      </x:c>
      <x:c r="E14" s="53" t="str">
        <x:v>Constat négatif exigeant la lecture de la Requête intégrale.</x:v>
      </x:c>
    </x:row>
    <x:row r="15">
      <x:c r="A15" s="55" t="str">
        <x:v>11</x:v>
      </x:c>
      <x:c r="B15" s="53" t="str">
        <x:v>Répartition du congé parental RQAP.</x:v>
      </x:c>
      <x:c r="C15" s="53" t="str">
        <x:v>piece_photo-4558.md</x:v>
      </x:c>
      <x:c r="D15" s="53" t="str">
        <x:v>soutien direct</x:v>
      </x:c>
      <x:c r="E15" s="53" t="str"/>
    </x:row>
    <x:row r="16">
      <x:c r="A16" s="55" t="str">
        <x:v>12</x:v>
      </x:c>
      <x:c r="B16" s="53" t="str">
        <x:v>Agenda régulier de danse et biographie professionnelle.</x:v>
      </x:c>
      <x:c r="C16" s="53" t="str">
        <x:v>PDFDocument id=59; P-391; PhotoDocument id=4</x:v>
      </x:c>
      <x:c r="D16" s="53" t="str">
        <x:v>soutien cumulatif</x:v>
      </x:c>
      <x:c r="E16" s="53" t="str">
        <x:v>Le calendrier 2025-2026 n’est qu’illustratif.</x:v>
      </x:c>
    </x:row>
    <x:row r="17">
      <x:c r="A17" s="55" t="str">
        <x:v>13</x:v>
      </x:c>
      <x:c r="B17" s="53" t="str">
        <x:v>Absences récurrentes pour la danse.</x:v>
      </x:c>
      <x:c r="C17" s="53" t="str">
        <x:v>PDFDocument id=59; PhotoDocument id=4; P-391; Email id=100; Email id=114; Email id=66; Event id=46; Event id=52; Email id=347; Event id=274; Event id=278</x:v>
      </x:c>
      <x:c r="D17" s="53" t="str">
        <x:v>soutien cumulatif</x:v>
      </x:c>
      <x:c r="E17" s="53" t="str">
        <x:v>La fréquence exacte doit correspondre aux occurrences documentées; ne pas extrapoler automatiquement.</x:v>
      </x:c>
    </x:row>
    <x:row r="18">
      <x:c r="A18" s="55" t="str">
        <x:v>14</x:v>
      </x:c>
      <x:c r="B18" s="53" t="str">
        <x:v>Prise en charge de la routine du soir pendant certains cours de danse.</x:v>
      </x:c>
      <x:c r="C18" s="53" t="str">
        <x:v>Event id=46; Event id=52; Email id=347; Event id=274; Event id=278; Email id=66</x:v>
      </x:c>
      <x:c r="D18" s="53" t="str">
        <x:v>soutien cumulatif</x:v>
      </x:c>
      <x:c r="E18" s="53" t="str">
        <x:v>Établir chaque instance; ne pas généraliser à toutes les soirées.</x:v>
      </x:c>
    </x:row>
    <x:row r="19">
      <x:c r="A19" s="55" t="str">
        <x:v>15</x:v>
      </x:c>
      <x:c r="B19" s="53" t="str">
        <x:v>Routines du soir des 9 et 16 février 2011.</x:v>
      </x:c>
      <x:c r="C19" s="53" t="str">
        <x:v>Event id=46; Event id=52</x:v>
      </x:c>
      <x:c r="D19" s="53" t="str">
        <x:v>soutien direct</x:v>
      </x:c>
      <x:c r="E19" s="53" t="str"/>
    </x:row>
    <x:row r="20">
      <x:c r="A20" s="55" t="str">
        <x:v>16</x:v>
      </x:c>
      <x:c r="B20" s="53" t="str">
        <x:v>Retour hâtif du 6 mars 2012 en raison du cours de danse.</x:v>
      </x:c>
      <x:c r="C20" s="53" t="str">
        <x:v>Email id=347; P-186</x:v>
      </x:c>
      <x:c r="D20" s="53" t="str">
        <x:v>soutien direct</x:v>
      </x:c>
      <x:c r="E20" s="53" t="str"/>
    </x:row>
    <x:row r="21">
      <x:c r="A21" s="55" t="str">
        <x:v>17</x:v>
      </x:c>
      <x:c r="B21" s="53" t="str">
        <x:v>Au moins vingt occasions de soins ou rendez-vous médicaux.</x:v>
      </x:c>
      <x:c r="C21" s="53" t="str">
        <x:v>Email id=69; Email id=68; Email id=64; Email id=118; Email id=61; Email id=59; Email id=56; Email id=55; Email id=53/488; Email id=51; Email id=47; Email id=45; Email id=42; Email id=41; Email id=40; Email id=30; Email id=28; Email id=27; Email id=21; Email id=15</x:v>
      </x:c>
      <x:c r="D21" s="53" t="str">
        <x:v>soutien cumulatif</x:v>
      </x:c>
      <x:c r="E21" s="53" t="str">
        <x:v>L’axe individualise 20 occurrences; Email id=58 est une conséquence professionnelle, non une occurrence de soins supplémentaire.</x:v>
      </x:c>
    </x:row>
    <x:row r="22">
      <x:c r="A22" s="55" t="str">
        <x:v>18</x:v>
      </x:c>
      <x:c r="B22" s="53" t="str">
        <x:v>Conséquences professionnelles des absences.</x:v>
      </x:c>
      <x:c r="C22" s="53" t="str">
        <x:v>Email id=58; Email id=28; courriels BNC connexes</x:v>
      </x:c>
      <x:c r="D22" s="53" t="str">
        <x:v>corroboration</x:v>
      </x:c>
      <x:c r="E22" s="53" t="str">
        <x:v>Email 58 reporte une rencontre; Email 28 mentionne un CMOC et un dîner d’équipe manqués.</x:v>
      </x:c>
    </x:row>
    <x:row r="23">
      <x:c r="A23" s="55" t="str">
        <x:v>19</x:v>
      </x:c>
      <x:c r="B23" s="53" t="str">
        <x:v>Courriel du 6 juillet 2011.</x:v>
      </x:c>
      <x:c r="C23" s="53" t="str">
        <x:v>Email id=59; P-93</x:v>
      </x:c>
      <x:c r="D23" s="53" t="str">
        <x:v>soutien direct</x:v>
      </x:c>
      <x:c r="E23" s="53" t="str"/>
    </x:row>
    <x:row r="24">
      <x:c r="A24" s="55" t="str">
        <x:v>20</x:v>
      </x:c>
      <x:c r="B24" s="53" t="str">
        <x:v>Courriel du 19 décembre 2014 et relais éventuel par Élise.</x:v>
      </x:c>
      <x:c r="C24" s="53" t="str">
        <x:v>Email id=27; P-329</x:v>
      </x:c>
      <x:c r="D24" s="53" t="str">
        <x:v>soutien direct</x:v>
      </x:c>
      <x:c r="E24" s="53" t="str">
        <x:v>P-329 n’est pas fusionnée avec l’Email 27 en raison d’une ambiguïté antérieure.</x:v>
      </x:c>
    </x:row>
    <x:row r="25">
      <x:c r="A25" s="55" t="str">
        <x:v>21</x:v>
      </x:c>
      <x:c r="B25" s="53" t="str">
        <x:v>Participation à la logistique de garderie et d’école.</x:v>
      </x:c>
      <x:c r="C25" s="53" t="str">
        <x:v>Email id=54; Event id=213; Event id=214; Email id=369; Email id=29; Email id=371; P-325</x:v>
      </x:c>
      <x:c r="D25" s="53" t="str">
        <x:v>soutien cumulatif</x:v>
      </x:c>
      <x:c r="E25" s="53" t="str"/>
    </x:row>
    <x:row r="26">
      <x:c r="A26" s="55" t="str">
        <x:v>22</x:v>
      </x:c>
      <x:c r="B26" s="53" t="str">
        <x:v>Routines matinales des 18 et 19 octobre 2012.</x:v>
      </x:c>
      <x:c r="C26" s="53" t="str">
        <x:v>Event id=213; Event id=214</x:v>
      </x:c>
      <x:c r="D26" s="53" t="str">
        <x:v>soutien direct</x:v>
      </x:c>
      <x:c r="E26" s="53" t="str">
        <x:v>La conséquence sur l’horaire de travail doit être vérifiée séparément.</x:v>
      </x:c>
    </x:row>
    <x:row r="27">
      <x:c r="A27" s="55" t="str">
        <x:v>23</x:v>
      </x:c>
      <x:c r="B27" s="53" t="str">
        <x:v>Coordination du retour de garderie le 24 novembre 2011.</x:v>
      </x:c>
      <x:c r="C27" s="53" t="str">
        <x:v>Email id=54; P-148</x:v>
      </x:c>
      <x:c r="D27" s="53" t="str">
        <x:v>soutien direct</x:v>
      </x:c>
      <x:c r="E27" s="53" t="str"/>
    </x:row>
    <x:row r="28">
      <x:c r="A28" s="55" t="str">
        <x:v>24</x:v>
      </x:c>
      <x:c r="B28" s="53" t="str">
        <x:v>Présence aux activités et division logistique des tâches.</x:v>
      </x:c>
      <x:c r="C28" s="53" t="str">
        <x:v>Event id=62; Event id=136; Event id=150; Event id=239; Event id=263; Email id=32; ChatMessage id=111; ChatMessage id=126; ChatMessage id=127; ChatMessage id=129; ChatMessage id=131; ChatMessage id=133; ChatMessage id=138; ChatMessage id=142; ChatMessage id=143; ChatMessage id=145; ChatMessage id=146; piece_tableau_recap_evenements.md; Event id=25; Event id=54; Event id=171; Event id=172; Event id=180; Event id=235; Event id=237; Event id=240; Event id=316; Event id=317; Event id=318; Event id=319; Event id=320</x:v>
      </x:c>
      <x:c r="D28" s="53" t="str">
        <x:v>soutien cumulatif</x:v>
      </x:c>
      <x:c r="E28" s="53" t="str">
        <x:v>Pour la simultanéité, identifier les pièces portant sur les mêmes dates.</x:v>
      </x:c>
    </x:row>
    <x:row r="29">
      <x:c r="A29" s="55" t="str">
        <x:v>25</x:v>
      </x:c>
      <x:c r="B29" s="53" t="str">
        <x:v>Soccer d’Alexia et prise en charge de Nicolas.</x:v>
      </x:c>
      <x:c r="C29" s="53" t="str">
        <x:v>Event id=239; Email id=32; Event id=263; P-238; P-282</x:v>
      </x:c>
      <x:c r="D29" s="53" t="str">
        <x:v>soutien cumulatif</x:v>
      </x:c>
      <x:c r="E29" s="53" t="str">
        <x:v>Event 263 corrobore la continuité de la saison; les cotes P ne sont pas fusionnées.</x:v>
      </x:c>
    </x:row>
    <x:row r="30">
      <x:c r="A30" s="55" t="str">
        <x:v>26</x:v>
      </x:c>
      <x:c r="B30" s="53" t="str">
        <x:v>Échange du 11 janvier 2016 sur la formulation litigieuse.</x:v>
      </x:c>
      <x:c r="C30" s="53" t="str">
        <x:v>piece_thread-12_email-16.md; P-362</x:v>
      </x:c>
      <x:c r="D30" s="53" t="str">
        <x:v>soutien direct</x:v>
      </x:c>
      <x:c r="E30" s="53" t="str">
        <x:v>Portée limitée au passage concernant Alexia/§6.</x:v>
      </x:c>
    </x:row>
    <x:row r="31">
      <x:c r="A31" s="55" t="str">
        <x:v>27</x:v>
      </x:c>
      <x:c r="B31" s="53" t="str">
        <x:v>Aide familiale pour natation et soirs de danse.</x:v>
      </x:c>
      <x:c r="C31" s="53" t="str">
        <x:v>Email id=305</x:v>
      </x:c>
      <x:c r="D31" s="53" t="str">
        <x:v>soutien direct</x:v>
      </x:c>
      <x:c r="E31" s="53" t="str">
        <x:v>Le remplacement du rôle antérieur du père est une inférence comparative.</x:v>
      </x:c>
    </x:row>
    <x:row r="32">
      <x:c r="A32" s="55" t="str">
        <x:v>28</x:v>
      </x:c>
      <x:c r="B32" s="53" t="str">
        <x:v>Déclaration relative à l’incapacité et au lien d’attachement.</x:v>
      </x:c>
      <x:c r="C32" s="53" t="str">
        <x:v>piece_thread-6_email-6.md; Email id=6</x:v>
      </x:c>
      <x:c r="D32" s="53" t="str">
        <x:v>soutien direct</x:v>
      </x:c>
      <x:c r="E32" s="53" t="str">
        <x:v>Postérieur aux allégations.</x:v>
      </x:c>
    </x:row>
    <x:row r="33">
      <x:c r="A33" s="55" t="str">
        <x:v>29</x:v>
      </x:c>
      <x:c r="B33" s="53" t="str">
        <x:v>Le plan de 2013 prévoit relocalisation, accès sans coucher et création d’une routine.</x:v>
      </x:c>
      <x:c r="C33" s="53" t="str">
        <x:v>piece_pdf-1.md; P-1</x:v>
      </x:c>
      <x:c r="D33" s="53" t="str">
        <x:v>soutien direct + contexte</x:v>
      </x:c>
      <x:c r="E33" s="53" t="str">
        <x:v>Réserve de privilège/admissibilité.</x:v>
      </x:c>
    </x:row>
    <x:row r="34">
      <x:c r="A34" s="55" t="str">
        <x:v>30</x:v>
      </x:c>
      <x:c r="B34" s="53" t="str">
        <x:v>La présence du père est traitée comme variable à réduire.</x:v>
      </x:c>
      <x:c r="C34" s="53" t="str">
        <x:v>piece_pdf-1.md; piece_document-1.md</x:v>
      </x:c>
      <x:c r="D34" s="53" t="str">
        <x:v>inférence tirée de plusieurs pièces</x:v>
      </x:c>
      <x:c r="E34" s="53" t="str">
        <x:v>Ne pas présenter comme citation littérale.</x:v>
      </x:c>
    </x:row>
    <x:row r="35">
      <x:c r="A35" s="55" t="str">
        <x:v>31</x:v>
      </x:c>
      <x:c r="B35" s="53" t="str">
        <x:v>P-1 corrobore, sans remplacer, les preuves directes d’implication.</x:v>
      </x:c>
      <x:c r="C35" s="53" t="str">
        <x:v>piece_pdf-1.md; PDFDocument id=59; PhotoDocument id=4; P-391; Email id=100; Email id=114; Email id=66; Event id=46; Event id=52; Email id=347; Event id=274; Event id=278; Email id=69; Email id=68; Email id=64; Email id=118; Email id=61; Email id=59; Email id=54; Event id=213; Event id=214; Email id=369; Email id=29; Email id=371; P-325; Event id=62; Event id=136; Event id=150; Event id=239; Event id=263; Email id=32</x:v>
      </x:c>
      <x:c r="D35" s="53" t="str">
        <x:v>corroboration</x:v>
      </x:c>
      <x:c r="E35" s="53" t="str">
        <x:v>P-1 n’établit pas un partage égal ni chaque acte concret.</x:v>
      </x:c>
    </x:row>
  </x:sheetData>
  <x:mergeCells>
    <x:mergeCell ref="A1:E1"/>
    <x:mergeCell ref="A2:E2"/>
  </x:mergeCells>
  <x:pageMargins left="0.7" right="0.7" top="0.75" bottom="0.75" header="0.3" footer="0.3"/>
  <x:tableParts count="1">
    <x:tablePart xmlns:r="http://schemas.openxmlformats.org/officeDocument/2006/relationships" r:id="Rd0e99241b4f3434e"/>
  </x:tableParts>
</x:worksheet>
</file>

<file path=xl/worksheets/sheet5.xml><?xml version="1.0" encoding="utf-8"?>
<x:worksheet xmlns:x="http://schemas.openxmlformats.org/spreadsheetml/2006/main">
  <x:sheetFormatPr defaultRowHeight="15"/>
  <x:cols>
    <x:col min="1" max="1" width="50" hidden="0" customWidth="1"/>
    <x:col min="2" max="2" width="86" hidden="0" customWidth="1"/>
  </x:cols>
  <x:sheetData>
    <x:row r="1" ht="28" customHeight="1">
      <x:c r="A1" s="5" t="str">
        <x:v>Références collectives et plages</x:v>
      </x:c>
      <x:c r="B1" s="5"/>
    </x:row>
    <x:row r="2" ht="34" customHeight="1">
      <x:c r="A2" s="13" t="str">
        <x:v>Conservées pour la traçabilité, sans être recomptées lorsque les pièces sont déjà individualisées.</x:v>
      </x:c>
      <x:c r="B2" s="13"/>
    </x:row>
    <x:row r="4" ht="34" customHeight="1">
      <x:c r="A4" s="48" t="str">
        <x:v>Référence collective exacte</x:v>
      </x:c>
      <x:c r="B4" s="48" t="str">
        <x:v>Traitement</x:v>
      </x:c>
    </x:row>
    <x:row r="5">
      <x:c r="A5" s="53" t="str">
        <x:v>P-64 à P-354</x:v>
      </x:c>
      <x:c r="B5" s="53" t="str">
        <x:v>Plage générale utilisée pour les courriels BNC; ne signifie pas que chaque cote intermédiaire est pertinente.</x:v>
      </x:c>
    </x:row>
    <x:row r="6">
      <x:c r="A6" s="53" t="str">
        <x:v>Courriels employeur BNC — 21 pièces</x:v>
      </x:c>
      <x:c r="B6" s="53" t="str">
        <x:v>L’axe complet individualise 20 occurrences de soins plus un courriel de conséquence professionnelle.</x:v>
      </x:c>
    </x:row>
    <x:row r="7">
      <x:c r="A7" s="53" t="str">
        <x:v>Events id=46, 52</x:v>
      </x:c>
      <x:c r="B7" s="53" t="str">
        <x:v>Référence groupée; deux événements individualisés dans le tableau principal.</x:v>
      </x:c>
    </x:row>
    <x:row r="8">
      <x:c r="A8" s="53" t="str">
        <x:v>Events id=213, 214</x:v>
      </x:c>
      <x:c r="B8" s="53" t="str">
        <x:v>Référence groupée; deux événements individualisés.</x:v>
      </x:c>
    </x:row>
    <x:row r="9">
      <x:c r="A9" s="53" t="str">
        <x:v>Events id=239, 263</x:v>
      </x:c>
      <x:c r="B9" s="53" t="str">
        <x:v>Référence groupée; deux événements individualisés.</x:v>
      </x:c>
    </x:row>
    <x:row r="10">
      <x:c r="A10" s="53" t="str">
        <x:v>Events id=274, 278</x:v>
      </x:c>
      <x:c r="B10" s="53" t="str">
        <x:v>Référence groupée; deux événements individualisés.</x:v>
      </x:c>
    </x:row>
    <x:row r="11">
      <x:c r="A11" s="53" t="str">
        <x:v>Events id=316 à 326</x:v>
      </x:c>
      <x:c r="B11" s="53" t="str">
        <x:v>Référence de liasse; onze événements individualisés.</x:v>
      </x:c>
    </x:row>
    <x:row r="12">
      <x:c r="A12" s="53" t="str">
        <x:v>ChatMessages id=111 à 146</x:v>
      </x:c>
      <x:c r="B12" s="53" t="str">
        <x:v>Référence de liasse; seuls onze identifiants sont individualisés dans l’axe activités.</x:v>
      </x:c>
    </x:row>
    <x:row r="13">
      <x:c r="A13" s="53" t="str">
        <x:v>Events id=25, 54, 75, 76, 79, 80, 82, 83, 88, 171, 172, 180, 235, 237, 240</x:v>
      </x:c>
      <x:c r="B13" s="53" t="str">
        <x:v>Référence collective du catalogue des parcs.</x:v>
      </x:c>
    </x:row>
    <x:row r="14">
      <x:c r="A14" s="53" t="str">
        <x:v>Events id=36, 37, 140, 284, 291</x:v>
      </x:c>
      <x:c r="B14" s="53" t="str">
        <x:v>Référence collective du catalogue de la famille paternelle.</x:v>
      </x:c>
    </x:row>
  </x:sheetData>
  <x:mergeCells>
    <x:mergeCell ref="A1:B1"/>
    <x:mergeCell ref="A2:B2"/>
  </x:mergeCells>
  <x:pageMargins left="0.7" right="0.7" top="0.75" bottom="0.75" header="0.3" footer="0.3"/>
  <x:tableParts count="1">
    <x:tablePart xmlns:r="http://schemas.openxmlformats.org/officeDocument/2006/relationships" r:id="Rd91c29a453bb49cc"/>
  </x:tableParts>
</x:worksheet>
</file>

<file path=xl/worksheets/sheet6.xml><?xml version="1.0" encoding="utf-8"?>
<x:worksheet xmlns:x="http://schemas.openxmlformats.org/spreadsheetml/2006/main">
  <x:sheetFormatPr defaultRowHeight="15"/>
  <x:cols>
    <x:col min="1" max="1" width="48" hidden="0" customWidth="1"/>
    <x:col min="2" max="2" width="84" hidden="0" customWidth="1"/>
  </x:cols>
  <x:sheetData>
    <x:row r="1" ht="28" customHeight="1">
      <x:c r="A1" s="5" t="str">
        <x:v>Documents analytiques exclus des pièces probatoires</x:v>
      </x:c>
      <x:c r="B1" s="5"/>
    </x:row>
    <x:row r="2" ht="34" customHeight="1">
      <x:c r="A2" s="13" t="str">
        <x:v>Analyses, thèses, notes de travail, renvois internes ou fichiers de synthèse.</x:v>
      </x:c>
      <x:c r="B2" s="13"/>
    </x:row>
    <x:row r="4" ht="34" customHeight="1">
      <x:c r="A4" s="48" t="str">
        <x:v>Référence analytique</x:v>
      </x:c>
      <x:c r="B4" s="48" t="str">
        <x:v>Motif d’exclusion</x:v>
      </x:c>
    </x:row>
    <x:row r="5">
      <x:c r="A5" s="53" t="str">
        <x:v>pont_par14-17_2015.md</x:v>
      </x:c>
      <x:c r="B5" s="53" t="str">
        <x:v>pont de rédaction et index directeur</x:v>
      </x:c>
    </x:row>
    <x:row r="6">
      <x:c r="A6" s="53" t="str">
        <x:v>faits_par14-17_2015.md</x:v>
      </x:c>
      <x:c r="B6" s="53" t="str">
        <x:v>document de faits bruts et d’organisation argumentative</x:v>
      </x:c>
    </x:row>
    <x:row r="7">
      <x:c r="A7" s="53" t="str">
        <x:v>argument paragraphes 14 17.md</x:v>
      </x:c>
      <x:c r="B7" s="53" t="str">
        <x:v>analyse documentaire et thèse argumentative</x:v>
      </x:c>
    </x:row>
    <x:row r="8">
      <x:c r="A8" s="53" t="str">
        <x:v>Identification des références documents.txt</x:v>
      </x:c>
      <x:c r="B8" s="53" t="str">
        <x:v>document de relation/synthèse</x:v>
      </x:c>
    </x:row>
    <x:row r="9">
      <x:c r="A9" s="53" t="str">
        <x:v>tableau_rattachement_par14-17.md</x:v>
      </x:c>
      <x:c r="B9" s="53" t="str">
        <x:v>tableau de travail et de rattachement</x:v>
      </x:c>
    </x:row>
    <x:row r="10">
      <x:c r="A10" s="53" t="str">
        <x:v>axe_absences_travail_enfants_malades.md</x:v>
      </x:c>
      <x:c r="B10" s="53" t="str">
        <x:v>axe analytique contenant un inventaire de pièces</x:v>
      </x:c>
    </x:row>
    <x:row r="11">
      <x:c r="A11" s="53" t="str">
        <x:v>axe_agenda_danse_elise.md</x:v>
      </x:c>
      <x:c r="B11" s="53" t="str">
        <x:v>axe analytique contenant un inventaire de pièces</x:v>
      </x:c>
    </x:row>
    <x:row r="12">
      <x:c r="A12" s="53" t="str">
        <x:v>axe_activites_enfants.md</x:v>
      </x:c>
      <x:c r="B12" s="53" t="str">
        <x:v>axe analytique contenant un inventaire de pièces</x:v>
      </x:c>
    </x:row>
    <x:row r="13">
      <x:c r="A13" s="53" t="str">
        <x:v>axe_garderie_coordination.md</x:v>
      </x:c>
      <x:c r="B13" s="53" t="str">
        <x:v>axe analytique contenant un inventaire de pièces</x:v>
      </x:c>
    </x:row>
    <x:row r="14">
      <x:c r="A14" s="53" t="str">
        <x:v>axe_presence_quotidienne_activites.md</x:v>
      </x:c>
      <x:c r="B14" s="53" t="str">
        <x:v>axe analytique contenant un inventaire de pièces</x:v>
      </x:c>
    </x:row>
    <x:row r="15">
      <x:c r="A15" s="53" t="str">
        <x:v>faits_par4-5-6_2015.md</x:v>
      </x:c>
      <x:c r="B15" s="53" t="str">
        <x:v>catalogue analytique connexe, limité ici à sa section §6</x:v>
      </x:c>
    </x:row>
    <x:row r="16">
      <x:c r="A16" s="53" t="str">
        <x:v>document_de_faits.md</x:v>
      </x:c>
      <x:c r="B16" s="53" t="str">
        <x:v>renvoi analytique cité; contenu non identifié comme pièce autonome</x:v>
      </x:c>
    </x:row>
    <x:row r="17">
      <x:c r="A17" s="53" t="str">
        <x:v>engagements_danse_elise.md</x:v>
      </x:c>
      <x:c r="B17" s="53" t="str">
        <x:v>renvoi analytique cité dans le catalogue</x:v>
      </x:c>
    </x:row>
    <x:row r="18">
      <x:c r="A18" s="53" t="str">
        <x:v>allegation_stmt14_15_16_17_garde_partagee.md</x:v>
      </x:c>
      <x:c r="B18" s="53" t="str">
        <x:v>analyse de l’allégation</x:v>
      </x:c>
    </x:row>
    <x:row r="19">
      <x:c r="A19" s="53" t="str">
        <x:v>faits_chronologiques_2010-11-20_2012-02-06.md</x:v>
      </x:c>
      <x:c r="B19" s="53" t="str">
        <x:v>chronologie de travail mentionnée par l’axe danse</x:v>
      </x:c>
    </x:row>
    <x:row r="20">
      <x:c r="A20" s="53" t="str">
        <x:v>expose_faits_volet_2015.md</x:v>
      </x:c>
      <x:c r="B20" s="53" t="str">
        <x:v>document de synthèse procédurale/plan de rédaction</x:v>
      </x:c>
    </x:row>
  </x:sheetData>
  <x:mergeCells>
    <x:mergeCell ref="A1:B1"/>
    <x:mergeCell ref="A2:B2"/>
  </x:mergeCells>
  <x:pageMargins left="0.7" right="0.7" top="0.75" bottom="0.75" header="0.3" footer="0.3"/>
  <x:tableParts count="1">
    <x:tablePart xmlns:r="http://schemas.openxmlformats.org/officeDocument/2006/relationships" r:id="Ref89a5affc0b4951"/>
  </x:tableParts>
</x:worksheet>
</file>

<file path=xl/worksheets/sheet7.xml><?xml version="1.0" encoding="utf-8"?>
<x:worksheet xmlns:x="http://schemas.openxmlformats.org/spreadsheetml/2006/main">
  <x:sheetFormatPr defaultRowHeight="15"/>
  <x:cols>
    <x:col min="1" max="1" width="110" hidden="0" customWidth="1"/>
  </x:cols>
  <x:sheetData>
    <x:row r="1" ht="28" customHeight="1">
      <x:c r="A1" s="5" t="str">
        <x:v>Anomalies et omissions relevées</x:v>
      </x:c>
    </x:row>
    <x:row r="2" ht="34" customHeight="1">
      <x:c r="A2" s="13" t="str">
        <x:v>Ambiguïtés d’identifiants, écarts entre listes sources et limites de portée.</x:v>
      </x:c>
    </x:row>
    <x:row r="4" ht="34" customHeight="1">
      <x:c r="A4" s="48" t="str">
        <x:v>Anomalie ou omission</x:v>
      </x:c>
    </x:row>
    <x:row r="5">
      <x:c r="A5" s="53" t="str">
        <x:v>Le pont emploie la formule « P-64 à P-354, 21 pièces ». L’axe médical individualise 20 occurrences de soins et un courriel distinct de conséquence professionnelle (Email id=58), ce qui explique le total de 21 documents sans rendre toutes les cotes intermédiaires pertinentes.</x:v>
      </x:c>
    </x:row>
    <x:row r="6">
      <x:c r="A6" s="53" t="str">
        <x:v>Email id=53/488 utilise deux identifiants pour ce qui paraît être le même courriel; l’équivalence doit être confirmée.</x:v>
      </x:c>
    </x:row>
    <x:row r="7">
      <x:c r="A7" s="53" t="str">
        <x:v>P-355 et P-356 sont présentées comme alias vraisemblables de piece_pdf-5.md et piece_pdf-6.md, mais cette équivalence n’est pas formellement établie.</x:v>
      </x:c>
    </x:row>
    <x:row r="8">
      <x:c r="A8" s="53" t="str">
        <x:v>Email id=27 et P-329 portent la même date et des extraits partiellement concordants; une synthèse antérieure signalait toutefois une différence de passage. Ils sont donc maintenus séparément.</x:v>
      </x:c>
    </x:row>
    <x:row r="9">
      <x:c r="A9" s="53" t="str">
        <x:v>P-5 ne doit pas être confondue avec piece_pdf-5.md: l’argumentaire utilise P-5 pour une activité de natation, tandis que le fichier interne piece_pdf-5.md est le projet de consentement.</x:v>
      </x:c>
    </x:row>
    <x:row r="10">
      <x:c r="A10" s="53" t="str">
        <x:v>P-326 ne doit pas être confondue avec Event id=326; aucune équivalence n’est fournie.</x:v>
      </x:c>
    </x:row>
    <x:row r="11">
      <x:c r="A11" s="53" t="str">
        <x:v>Le pont cite des groupes (Events id=46, 52; Events id=213, 214; etc.) tandis que les axes individualisent les pièces. La matrice marque alors la présence groupée comme « Implicite » pour l’identifiant singulier.</x:v>
      </x:c>
    </x:row>
    <x:row r="12">
      <x:c r="A12" s="53" t="str">
        <x:v>La fréquence « un à trois soirs par semaine » provient en partie d’un courriel sarcastique et d’une absence de contestation alléguée; elle requiert une analyse distincte et ne doit pas être présentée comme un aveu incontestable.</x:v>
      </x:c>
    </x:row>
    <x:row r="13">
      <x:c r="A13" s="53" t="str">
        <x:v>La demande de retrait du 11 janvier 2016 vise directement le passage concernant Alexia/§6; elle ne constitue pas une rétractation expresse des §§15-17.</x:v>
      </x:c>
    </x:row>
    <x:row r="14">
      <x:c r="A14" s="53" t="str">
        <x:v>Plusieurs Events de l’axe présence sont hors de la période stricte du titre de l’axe (Event id=327 en 2015; Event id=305 en 2018) et ne doivent servir que de contexte ou comparaison.</x:v>
      </x:c>
    </x:row>
  </x:sheetData>
  <x:pageMargins left="0.7" right="0.7" top="0.75" bottom="0.75" header="0.3" footer="0.3"/>
  <x:tableParts count="1">
    <x:tablePart xmlns:r="http://schemas.openxmlformats.org/officeDocument/2006/relationships" r:id="R7213262d3e824104"/>
  </x:tableParts>
</x:worksheet>
</file>

<file path=xl/worksheets/sheet8.xml><?xml version="1.0" encoding="utf-8"?>
<x:worksheet xmlns:x="http://schemas.openxmlformats.org/spreadsheetml/2006/main">
  <x:sheetFormatPr defaultRowHeight="15"/>
  <x:cols>
    <x:col min="1" max="1" width="60" hidden="0" customWidth="1"/>
  </x:cols>
  <x:sheetData>
    <x:row r="1" ht="28" customHeight="1">
      <x:c r="A1" s="5" t="str">
        <x:v>Pièces qui semblent centrales</x:v>
      </x:c>
    </x:row>
    <x:row r="2" ht="34" customHeight="1">
      <x:c r="A2" s="13" t="str">
        <x:v>Documents d’ancrage procédural, de chronologie et de contradiction directe.</x:v>
      </x:c>
    </x:row>
    <x:row r="4" ht="34" customHeight="1">
      <x:c r="A4" s="48" t="str">
        <x:v>Référence</x:v>
      </x:c>
    </x:row>
    <x:row r="5">
      <x:c r="A5" s="53" t="str">
        <x:v>piece_document-1.md</x:v>
      </x:c>
    </x:row>
    <x:row r="6">
      <x:c r="A6" s="53" t="str">
        <x:v>piece_pdf-2.md</x:v>
      </x:c>
    </x:row>
    <x:row r="7">
      <x:c r="A7" s="53" t="str">
        <x:v>piece_pdf-3.md</x:v>
      </x:c>
    </x:row>
    <x:row r="8">
      <x:c r="A8" s="53" t="str">
        <x:v>piece_pdf-5.md</x:v>
      </x:c>
    </x:row>
    <x:row r="9">
      <x:c r="A9" s="53" t="str">
        <x:v>piece_pdf-6.md</x:v>
      </x:c>
    </x:row>
    <x:row r="10">
      <x:c r="A10" s="53" t="str">
        <x:v>piece_photo-4558.md</x:v>
      </x:c>
    </x:row>
    <x:row r="11">
      <x:c r="A11" s="53" t="str">
        <x:v>piece_thread-12_email-16.md</x:v>
      </x:c>
    </x:row>
    <x:row r="12">
      <x:c r="A12" s="53" t="str">
        <x:v>piece_pdf-1.md</x:v>
      </x:c>
    </x:row>
    <x:row r="13">
      <x:c r="A13" s="53" t="str">
        <x:v>PDFDocument id=59</x:v>
      </x:c>
    </x:row>
    <x:row r="14">
      <x:c r="A14" s="53" t="str">
        <x:v>Email id=59</x:v>
      </x:c>
    </x:row>
    <x:row r="15">
      <x:c r="A15" s="53" t="str">
        <x:v>Email id=27</x:v>
      </x:c>
    </x:row>
    <x:row r="16">
      <x:c r="A16" s="53" t="str">
        <x:v>Email id=54</x:v>
      </x:c>
    </x:row>
    <x:row r="17">
      <x:c r="A17" s="53" t="str">
        <x:v>Event id=213</x:v>
      </x:c>
    </x:row>
    <x:row r="18">
      <x:c r="A18" s="53" t="str">
        <x:v>Event id=214</x:v>
      </x:c>
    </x:row>
    <x:row r="19">
      <x:c r="A19" s="53" t="str">
        <x:v>Event id=239</x:v>
      </x:c>
    </x:row>
    <x:row r="20">
      <x:c r="A20" s="53" t="str">
        <x:v>Email id=32</x:v>
      </x:c>
    </x:row>
    <x:row r="21">
      <x:c r="A21" s="53" t="str">
        <x:v>Email id=305</x:v>
      </x:c>
    </x:row>
    <x:row r="22">
      <x:c r="A22" s="53" t="str">
        <x:v>piece_thread-6_email-6.md</x:v>
      </x:c>
    </x:row>
  </x:sheetData>
  <x:pageMargins left="0.7" right="0.7" top="0.75" bottom="0.75" header="0.3" footer="0.3"/>
  <x:tableParts count="1">
    <x:tablePart xmlns:r="http://schemas.openxmlformats.org/officeDocument/2006/relationships" r:id="Rdec9b2f841b74cbb"/>
  </x:tableParts>
</x:worksheet>
</file>

<file path=xl/worksheets/sheet9.xml><?xml version="1.0" encoding="utf-8"?>
<x:worksheet xmlns:x="http://schemas.openxmlformats.org/spreadsheetml/2006/main">
  <x:sheetFormatPr defaultRowHeight="15"/>
  <x:cols>
    <x:col min="1" max="1" width="95" hidden="0" customWidth="1"/>
  </x:cols>
  <x:sheetData>
    <x:row r="1" ht="28" customHeight="1">
      <x:c r="A1" s="5" t="str">
        <x:v>Pièces complémentaires</x:v>
      </x:c>
    </x:row>
    <x:row r="2" ht="34" customHeight="1">
      <x:c r="A2" s="13" t="str">
        <x:v>Éléments corroborants, contextuels ou démonstratifs.</x:v>
      </x:c>
    </x:row>
    <x:row r="4" ht="34" customHeight="1">
      <x:c r="A4" s="48" t="str">
        <x:v>Référence ou groupe</x:v>
      </x:c>
    </x:row>
    <x:row r="5">
      <x:c r="A5" s="53" t="str">
        <x:v>Email id=58</x:v>
      </x:c>
    </x:row>
    <x:row r="6">
      <x:c r="A6" s="53" t="str">
        <x:v>P-391</x:v>
      </x:c>
    </x:row>
    <x:row r="7">
      <x:c r="A7" s="53" t="str">
        <x:v>PhotoDocument id=4</x:v>
      </x:c>
    </x:row>
    <x:row r="8">
      <x:c r="A8" s="53" t="str">
        <x:v>PhotoDocument id=15</x:v>
      </x:c>
    </x:row>
    <x:row r="9">
      <x:c r="A9" s="53" t="str">
        <x:v>Event id=263</x:v>
      </x:c>
    </x:row>
    <x:row r="10">
      <x:c r="A10" s="53" t="str">
        <x:v>piece_tableau_recap_evenements.md</x:v>
      </x:c>
    </x:row>
    <x:row r="11">
      <x:c r="A11" s="53" t="str">
        <x:v>les autres courriels BNC individualisés</x:v>
      </x:c>
    </x:row>
    <x:row r="12">
      <x:c r="A12" s="53" t="str">
        <x:v>les Events et photographies de l’axe présence quotidienne</x:v>
      </x:c>
    </x:row>
    <x:row r="13">
      <x:c r="A13" s="53" t="str">
        <x:v>les ChatMessages id=111, 126, 127, 129, 131, 133, 138, 142, 143, 145 et 146</x:v>
      </x:c>
    </x:row>
    <x:row r="14">
      <x:c r="A14" s="53" t="str">
        <x:v>Email id=590; Email id=603; Email id=91</x:v>
      </x:c>
    </x:row>
  </x:sheetData>
  <x:pageMargins left="0.7" right="0.7" top="0.75" bottom="0.75" header="0.3" footer="0.3"/>
  <x:tableParts count="1">
    <x:tablePart xmlns:r="http://schemas.openxmlformats.org/officeDocument/2006/relationships" r:id="Ra66e2bcfaf754855"/>
  </x:tableParts>
</x:worksheet>
</file>

<file path=xl/worksheets/sheet10.xml><?xml version="1.0" encoding="utf-8"?>
<x:worksheet xmlns:x="http://schemas.openxmlformats.org/spreadsheetml/2006/main">
  <x:sheetFormatPr defaultRowHeight="15"/>
  <x:cols>
    <x:col min="1" max="1" width="120" hidden="0" customWidth="1"/>
  </x:cols>
  <x:sheetData>
    <x:row r="1" ht="28" customHeight="1">
      <x:c r="A1" s="5" t="str">
        <x:v>Admissibilité, confidentialité et privilège</x:v>
      </x:c>
    </x:row>
    <x:row r="2" ht="34" customHeight="1">
      <x:c r="A2" s="13" t="str">
        <x:v>Points à soumettre à une analyse juridique distincte avant utilisation.</x:v>
      </x:c>
    </x:row>
    <x:row r="4" ht="34" customHeight="1">
      <x:c r="A4" s="48" t="str">
        <x:v>Réserve</x:v>
      </x:c>
    </x:row>
    <x:row r="5">
      <x:c r="A5" s="53" t="str">
        <x:v>piece_pdf-1.md / P-1 — secret professionnel de l’avocat et renonciation au privilège à analyser; source, obtention et portée de toute renonciation doivent être établies.</x:v>
      </x:c>
    </x:row>
    <x:row r="6">
      <x:c r="A6" s="53" t="str">
        <x:v>piece_pdf-3.md, piece_pdf-5.md, piece_pdf-6.md, P-355 et P-356 — correspondances ou projets de règlement susceptibles de soulever le privilège relatif aux règlements, selon leur contexte et leur usage.</x:v>
      </x:c>
    </x:row>
    <x:row r="7">
      <x:c r="A7" s="53" t="str">
        <x:v>piece_thread-12_email-16.md et les échanges de septembre 2016 — admissions extrajudiciaires, contexte complet, authenticité et portée à examiner.</x:v>
      </x:c>
    </x:row>
    <x:row r="8">
      <x:c r="A8" s="53" t="str">
        <x:v>Courriels BNC — authenticité, intégralité, protection des renseignements personnels et témoignage/registre d’affaires; ils ne sont pas, en principe, des communications privilégiées avec un avocat.</x:v>
      </x:c>
    </x:row>
    <x:row r="9">
      <x:c r="A9" s="53" t="str">
        <x:v>piece_photo-4558.md — renseignements personnels et dossier gouvernemental; mode de preuve et confidentialité à encadrer.</x:v>
      </x:c>
    </x:row>
    <x:row r="10">
      <x:c r="A10" s="53" t="str">
        <x:v>Events, photographies et piece_tableau_recap_evenements.md — authenticité, métadonnées, méthode de compilation et distinction entre original et document démonstratif.</x:v>
      </x:c>
    </x:row>
    <x:row r="11">
      <x:c r="A11" s="53" t="str">
        <x:v>PhotoDocument id=4 — document de 2025-2026 utilisé comme illustration d’une structure de sessions antérieure; objection possible de pertinence et de comparabilité.</x:v>
      </x:c>
    </x:row>
  </x:sheetData>
  <x:pageMargins left="0.7" right="0.7" top="0.75" bottom="0.75" header="0.3" footer="0.3"/>
  <x:tableParts count="1">
    <x:tablePart xmlns:r="http://schemas.openxmlformats.org/officeDocument/2006/relationships" r:id="R919f6fd6d25346bf"/>
  </x:tableParts>
</x:worksheet>
</file>

<file path=xl/worksheets/sheet11.xml><?xml version="1.0" encoding="utf-8"?>
<x:worksheet xmlns:x="http://schemas.openxmlformats.org/spreadsheetml/2006/main">
  <x:sheetFormatPr defaultRowHeight="15"/>
  <x:cols>
    <x:col min="1" max="1" width="24" hidden="0" customWidth="1"/>
    <x:col min="2" max="2" width="58" hidden="0" customWidth="1"/>
    <x:col min="3" max="3" width="64" hidden="0" customWidth="1"/>
  </x:cols>
  <x:sheetData>
    <x:row r="1" ht="28" customHeight="1">
      <x:c r="A1" s="5" t="str">
        <x:v>Guide de lecture du classeur</x:v>
      </x:c>
      <x:c r="B1" s="5"/>
      <x:c r="C1" s="5"/>
      <x:c r="D1" s="5"/>
    </x:row>
    <x:row r="2" ht="34" customHeight="1">
      <x:c r="A2" s="13" t="str">
        <x:v>Structure des onglets et règles de consolidation appliquées.</x:v>
      </x:c>
      <x:c r="B2" s="13"/>
      <x:c r="C2" s="13"/>
      <x:c r="D2" s="13"/>
    </x:row>
    <x:row r="4" ht="34" customHeight="1">
      <x:c r="A4" s="48" t="str">
        <x:v>Onglet</x:v>
      </x:c>
      <x:c r="B4" s="48" t="str">
        <x:v>Contenu</x:v>
      </x:c>
      <x:c r="C4" s="48" t="str">
        <x:v>Règle de lecture</x:v>
      </x:c>
    </x:row>
    <x:row r="5">
      <x:c r="A5" s="53" t="str">
        <x:v>Sommaire</x:v>
      </x:c>
      <x:c r="B5" s="53" t="str">
        <x:v>Compteurs automatiques et répartition des statuts.</x:v>
      </x:c>
      <x:c r="C5" s="53" t="str">
        <x:v>Formules liées aux autres onglets.</x:v>
      </x:c>
    </x:row>
    <x:row r="6">
      <x:c r="A6" s="53" t="str">
        <x:v>Inventaire</x:v>
      </x:c>
      <x:c r="B6" s="53" t="str">
        <x:v>Union exhaustive des identifiants probatoires.</x:v>
      </x:c>
      <x:c r="C6" s="53" t="str">
        <x:v>Les alias probables ne sont pas fusionnés.</x:v>
      </x:c>
    </x:row>
    <x:row r="7">
      <x:c r="A7" s="53" t="str">
        <x:v>Matrice</x:v>
      </x:c>
      <x:c r="B7" s="53" t="str">
        <x:v>Présence exacte ou implicite dans chaque type de fichier.</x:v>
      </x:c>
      <x:c r="C7" s="53" t="str">
        <x:v>Omis = utilisé mais absent du tableau final.</x:v>
      </x:c>
    </x:row>
    <x:row r="8">
      <x:c r="A8" s="53" t="str">
        <x:v>Rattachement</x:v>
      </x:c>
      <x:c r="B8" s="53" t="str">
        <x:v>Lien entre les 31 paragraphes procéduraux et les pièces.</x:v>
      </x:c>
      <x:c r="C8" s="53" t="str">
        <x:v>Les inférences demeurent identifiées comme telles.</x:v>
      </x:c>
    </x:row>
    <x:row r="9">
      <x:c r="A9" s="53" t="str">
        <x:v>Réf. collectives</x:v>
      </x:c>
      <x:c r="B9" s="53" t="str">
        <x:v>Plages et références groupées.</x:v>
      </x:c>
      <x:c r="C9" s="53" t="str">
        <x:v>Non recomptées si les composantes sont individualisées.</x:v>
      </x:c>
    </x:row>
    <x:row r="10">
      <x:c r="A10" s="53" t="str">
        <x:v>Analytiques exclues</x:v>
      </x:c>
      <x:c r="B10" s="53" t="str">
        <x:v>Documents de travail non traités comme pièces.</x:v>
      </x:c>
      <x:c r="C10" s="53" t="str">
        <x:v>Conservés pour la traçabilité.</x:v>
      </x:c>
    </x:row>
    <x:row r="11">
      <x:c r="A11" s="53" t="str">
        <x:v>Anomalies</x:v>
      </x:c>
      <x:c r="B11" s="53" t="str">
        <x:v>Ambiguïtés et incohérences relevées.</x:v>
      </x:c>
      <x:c r="C11" s="53" t="str">
        <x:v>Aucune référence manquante n’est complétée par supposition.</x:v>
      </x:c>
    </x:row>
    <x:row r="12">
      <x:c r="A12" s="53" t="str">
        <x:v>Admissibilité</x:v>
      </x:c>
      <x:c r="B12" s="53" t="str">
        <x:v>Réserves de privilège, authenticité et pertinence.</x:v>
      </x:c>
      <x:c r="C12" s="53" t="str">
        <x:v>Analyse juridique ultérieure requise.</x:v>
      </x:c>
    </x:row>
  </x:sheetData>
  <x:mergeCells>
    <x:mergeCell ref="A1:D1"/>
    <x:mergeCell ref="A2:D2"/>
  </x:mergeCells>
  <x:pageMargins left="0.7" right="0.7" top="0.75" bottom="0.75" header="0.3" footer="0.3"/>
  <x:tableParts count="1">
    <x:tablePart xmlns:r="http://schemas.openxmlformats.org/officeDocument/2006/relationships" r:id="R87f5046727b5422f"/>
  </x:tableParts>
</x:worksheet>
</file>